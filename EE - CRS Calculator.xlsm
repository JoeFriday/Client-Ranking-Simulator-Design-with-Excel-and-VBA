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EE - CRS Calculator\"/>
    </mc:Choice>
  </mc:AlternateContent>
  <xr:revisionPtr revIDLastSave="0" documentId="13_ncr:1_{5794653F-F401-4999-A715-32DC211340A7}" xr6:coauthVersionLast="46" xr6:coauthVersionMax="46" xr10:uidLastSave="{00000000-0000-0000-0000-000000000000}"/>
  <bookViews>
    <workbookView xWindow="-108" yWindow="-108" windowWidth="30936" windowHeight="16896" tabRatio="831" xr2:uid="{00000000-000D-0000-FFFF-FFFF00000000}"/>
  </bookViews>
  <sheets>
    <sheet name="Express Entry Score Simulator" sheetId="1" r:id="rId1"/>
    <sheet name="Transferability" sheetId="8" state="hidden" r:id="rId2"/>
    <sheet name="Age Matrix" sheetId="3" state="hidden" r:id="rId3"/>
    <sheet name="Education Matrix" sheetId="4" state="hidden" r:id="rId4"/>
    <sheet name="Language Matrix" sheetId="5" state="hidden" r:id="rId5"/>
    <sheet name="Work Matrix" sheetId="6" state="hidden" r:id="rId6"/>
    <sheet name="Spouse Matix" sheetId="7" state="hidden" r:id="rId7"/>
  </sheets>
  <definedNames>
    <definedName name="Age">#REF!</definedName>
    <definedName name="Age_Score">#REF!</definedName>
    <definedName name="CELPIP">'Language Matrix'!$A$22:$A$31</definedName>
    <definedName name="Education">'Education Matrix'!$B$6:$B$13</definedName>
    <definedName name="Education_Married">'Education Matrix'!$B$19:$B$26</definedName>
    <definedName name="Education_Single">'Education Matrix'!$B$6:$B$13</definedName>
    <definedName name="English">'Language Matrix'!$B$76:$B$78</definedName>
    <definedName name="French">'Language Matrix'!$B$73:$B$75</definedName>
    <definedName name="IELTS">'Language Matrix'!$A$5:$A$17</definedName>
    <definedName name="In_Canada">'Work Matrix'!$B$5:$B$10</definedName>
    <definedName name="language">'Language Matrix'!$F$75:$F$79</definedName>
    <definedName name="Marital_Status">#REF!</definedName>
    <definedName name="NA">'Language Matrix'!$B$78</definedName>
    <definedName name="Score">'Education Matrix'!$C$6:$C$13</definedName>
    <definedName name="solver_eng" localSheetId="0" hidden="1">1</definedName>
    <definedName name="solver_eng" localSheetId="6" hidden="1">1</definedName>
    <definedName name="solver_neg" localSheetId="0" hidden="1">1</definedName>
    <definedName name="solver_neg" localSheetId="6" hidden="1">1</definedName>
    <definedName name="solver_num" localSheetId="0" hidden="1">0</definedName>
    <definedName name="solver_num" localSheetId="6" hidden="1">0</definedName>
    <definedName name="solver_opt" localSheetId="0" hidden="1">'Express Entry Score Simulator'!$B$13</definedName>
    <definedName name="solver_opt" localSheetId="6" hidden="1">'Spouse Matix'!$E$7</definedName>
    <definedName name="solver_typ" localSheetId="0" hidden="1">1</definedName>
    <definedName name="solver_typ" localSheetId="6" hidden="1">1</definedName>
    <definedName name="solver_val" localSheetId="0" hidden="1">0</definedName>
    <definedName name="solver_val" localSheetId="6" hidden="1">0</definedName>
    <definedName name="solver_ver" localSheetId="0" hidden="1">3</definedName>
    <definedName name="solver_ver" localSheetId="6" hidden="1">3</definedName>
    <definedName name="TCF_L">'Language Matrix'!$E$48:$E$55</definedName>
    <definedName name="TCF_R">'Language Matrix'!$H$48:$H$55</definedName>
    <definedName name="TCF_S">'Language Matrix'!$B$48:$B$55</definedName>
    <definedName name="TCF_W">'Language Matrix'!$K$48:$K$55</definedName>
    <definedName name="TEF_L">'Language Matrix'!$E$36:$E$43</definedName>
    <definedName name="TEF_R">'Language Matrix'!$H$36:$H$43</definedName>
    <definedName name="TEF_S">'Language Matrix'!$B$36:$B$43</definedName>
    <definedName name="TEF_W">'Language Matrix'!$K$36:$K$43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1" l="1"/>
  <c r="D25" i="1"/>
  <c r="D24" i="1"/>
  <c r="D23" i="1"/>
  <c r="D21" i="1"/>
  <c r="D5" i="1"/>
  <c r="D4" i="1"/>
  <c r="D39" i="1"/>
  <c r="D38" i="1"/>
  <c r="D37" i="1"/>
  <c r="D36" i="1"/>
  <c r="B34" i="1"/>
  <c r="B31" i="1"/>
  <c r="D18" i="1"/>
  <c r="C7" i="1"/>
  <c r="C12" i="1" l="1"/>
  <c r="C14" i="1"/>
  <c r="D14" i="1" l="1"/>
  <c r="C16" i="1"/>
  <c r="D16" i="1" s="1"/>
  <c r="C15" i="1"/>
  <c r="D15" i="1" s="1"/>
  <c r="C13" i="1"/>
  <c r="C11" i="1"/>
  <c r="D11" i="1" s="1"/>
  <c r="C10" i="1"/>
  <c r="D10" i="1" s="1"/>
  <c r="C8" i="1"/>
  <c r="C9" i="1"/>
  <c r="D9" i="1" s="1"/>
  <c r="D8" i="1" l="1"/>
  <c r="B33" i="1"/>
  <c r="B30" i="1"/>
  <c r="D40" i="1"/>
  <c r="D13" i="1"/>
  <c r="D27" i="1"/>
  <c r="E39" i="3"/>
  <c r="D29" i="1" l="1"/>
  <c r="B41" i="1" s="1"/>
</calcChain>
</file>

<file path=xl/sharedStrings.xml><?xml version="1.0" encoding="utf-8"?>
<sst xmlns="http://schemas.openxmlformats.org/spreadsheetml/2006/main" count="785" uniqueCount="194">
  <si>
    <t>Marital Status</t>
  </si>
  <si>
    <t>A. Core / Human Capital Factors</t>
  </si>
  <si>
    <t>Age</t>
  </si>
  <si>
    <t>Education</t>
  </si>
  <si>
    <t>First Language</t>
  </si>
  <si>
    <t>Second Language</t>
  </si>
  <si>
    <t>Work Experience</t>
  </si>
  <si>
    <t>B. Spouse Factors</t>
  </si>
  <si>
    <t>Spouse's Education</t>
  </si>
  <si>
    <t>Spouse's First Language</t>
  </si>
  <si>
    <t>C. Skill Transferability Factors</t>
  </si>
  <si>
    <t>D. Additional Points</t>
  </si>
  <si>
    <t>Age Score Matrix</t>
  </si>
  <si>
    <t>Age Score</t>
  </si>
  <si>
    <t>Education Matrix</t>
  </si>
  <si>
    <t>Score</t>
  </si>
  <si>
    <t>Speaking</t>
  </si>
  <si>
    <t>Reading</t>
  </si>
  <si>
    <t>Writing</t>
  </si>
  <si>
    <t>Listening</t>
  </si>
  <si>
    <t>CELPIP</t>
  </si>
  <si>
    <t>Language Matrix</t>
  </si>
  <si>
    <t>Less than high school</t>
  </si>
  <si>
    <t>high school graduation</t>
  </si>
  <si>
    <t>One-year program</t>
  </si>
  <si>
    <t>Two-year program</t>
  </si>
  <si>
    <t>Bachelor's degree</t>
  </si>
  <si>
    <t>Two or more certificates</t>
  </si>
  <si>
    <t>Master's degree</t>
  </si>
  <si>
    <t>PhD</t>
  </si>
  <si>
    <t>IELTS</t>
  </si>
  <si>
    <t>CELPIP-G</t>
  </si>
  <si>
    <t>TEF Canada</t>
  </si>
  <si>
    <t>TCF Canada</t>
  </si>
  <si>
    <t>Two or more certificates (one must be for a three-year program)</t>
  </si>
  <si>
    <t>0-3</t>
  </si>
  <si>
    <t>Item</t>
  </si>
  <si>
    <t>0-180</t>
  </si>
  <si>
    <t>181-225</t>
  </si>
  <si>
    <t>271-309</t>
  </si>
  <si>
    <t>310-348</t>
  </si>
  <si>
    <t>349-370</t>
  </si>
  <si>
    <t>371-392</t>
  </si>
  <si>
    <t>393-450</t>
  </si>
  <si>
    <t>226-270</t>
  </si>
  <si>
    <t>310-370</t>
  </si>
  <si>
    <t>371-450</t>
  </si>
  <si>
    <t>226-309</t>
  </si>
  <si>
    <t>0-225</t>
  </si>
  <si>
    <t>181-248</t>
  </si>
  <si>
    <t>249-297</t>
  </si>
  <si>
    <t>298-360</t>
  </si>
  <si>
    <t>0-150</t>
  </si>
  <si>
    <t>151-206</t>
  </si>
  <si>
    <t>207-247</t>
  </si>
  <si>
    <t>248-300</t>
  </si>
  <si>
    <t>TEF_S</t>
  </si>
  <si>
    <t>TEF_L</t>
  </si>
  <si>
    <t>TEF_R</t>
  </si>
  <si>
    <t>TEF_W</t>
  </si>
  <si>
    <t>TCF_S</t>
  </si>
  <si>
    <t>TCF_L</t>
  </si>
  <si>
    <t>TCF_R</t>
  </si>
  <si>
    <t>TCF_W</t>
  </si>
  <si>
    <t>0-5</t>
  </si>
  <si>
    <t>10-13</t>
  </si>
  <si>
    <t>6-9</t>
  </si>
  <si>
    <t>14-20</t>
  </si>
  <si>
    <t>0-368</t>
  </si>
  <si>
    <t>369-457</t>
  </si>
  <si>
    <t>458-522</t>
  </si>
  <si>
    <t>523-699</t>
  </si>
  <si>
    <t>0-374</t>
  </si>
  <si>
    <t>375-452</t>
  </si>
  <si>
    <t>453-523</t>
  </si>
  <si>
    <t>524-699</t>
  </si>
  <si>
    <t>Speaking:</t>
  </si>
  <si>
    <t>Listening:</t>
  </si>
  <si>
    <t>Reading:</t>
  </si>
  <si>
    <t>Writing:</t>
  </si>
  <si>
    <t>In Canada</t>
  </si>
  <si>
    <t>Foreign</t>
  </si>
  <si>
    <t>Work Experience Matrix</t>
  </si>
  <si>
    <t>&gt;=5</t>
  </si>
  <si>
    <t>&gt;= 45</t>
  </si>
  <si>
    <t>3.5</t>
  </si>
  <si>
    <t>0-17</t>
  </si>
  <si>
    <t>&gt;=3</t>
  </si>
  <si>
    <t>Level of Education</t>
  </si>
  <si>
    <t>Official Languages</t>
  </si>
  <si>
    <t>Married (or apply with spouse or common-law partner)</t>
  </si>
  <si>
    <t>Single (or apply without spouse or common-law partner)</t>
  </si>
  <si>
    <t>Education_Single</t>
  </si>
  <si>
    <t>Education_Married</t>
  </si>
  <si>
    <t>Single</t>
  </si>
  <si>
    <t>Married</t>
  </si>
  <si>
    <t>8</t>
  </si>
  <si>
    <t>16</t>
  </si>
  <si>
    <t>22</t>
  </si>
  <si>
    <t>29</t>
  </si>
  <si>
    <t>32</t>
  </si>
  <si>
    <t>Spouse Matrix</t>
  </si>
  <si>
    <t>Spouse's IELTS</t>
  </si>
  <si>
    <t>1</t>
  </si>
  <si>
    <t>3</t>
  </si>
  <si>
    <t>5</t>
  </si>
  <si>
    <t>Spouse's Canadian Work Experience</t>
  </si>
  <si>
    <t>Spouse's Level of Education</t>
  </si>
  <si>
    <t>Spouse's CELPIP</t>
  </si>
  <si>
    <t>Spouse's TEF</t>
  </si>
  <si>
    <t>Spouse's TCF</t>
  </si>
  <si>
    <t>Spouse's Work</t>
  </si>
  <si>
    <t>Year</t>
  </si>
  <si>
    <t>Foreign Work Experience</t>
  </si>
  <si>
    <t>First Official Language</t>
  </si>
  <si>
    <t>Second Official Language</t>
  </si>
  <si>
    <t>Canadian Work Experience</t>
  </si>
  <si>
    <t>Job Offer</t>
  </si>
  <si>
    <t>Study in Canada</t>
  </si>
  <si>
    <t>Sibling in Canada</t>
  </si>
  <si>
    <t>French-language Skills</t>
  </si>
  <si>
    <t>IELST_S</t>
  </si>
  <si>
    <t>IELST_L</t>
  </si>
  <si>
    <t>IELST_R</t>
  </si>
  <si>
    <t>IELST_W</t>
  </si>
  <si>
    <t>One-Year Program</t>
  </si>
  <si>
    <t>教育背景×语言能力</t>
  </si>
  <si>
    <t>CLB 7</t>
  </si>
  <si>
    <t>CLB 8</t>
  </si>
  <si>
    <t>CLB 9</t>
  </si>
  <si>
    <t>Two-Year Program</t>
  </si>
  <si>
    <t>CLB5</t>
  </si>
  <si>
    <t>0-144</t>
  </si>
  <si>
    <t>145-180</t>
  </si>
  <si>
    <t>181-216</t>
  </si>
  <si>
    <t>217-248</t>
  </si>
  <si>
    <t>249-279</t>
  </si>
  <si>
    <t>280-297</t>
  </si>
  <si>
    <t>298-315</t>
  </si>
  <si>
    <t>316-360</t>
  </si>
  <si>
    <t>0-120</t>
  </si>
  <si>
    <t>121-150</t>
  </si>
  <si>
    <t>151-180</t>
  </si>
  <si>
    <t>181-206</t>
  </si>
  <si>
    <t>207-232</t>
  </si>
  <si>
    <t>233-247</t>
  </si>
  <si>
    <t>248-262</t>
  </si>
  <si>
    <t>263-300</t>
  </si>
  <si>
    <t>4-5</t>
  </si>
  <si>
    <t>6</t>
  </si>
  <si>
    <t>7-9</t>
  </si>
  <si>
    <t>10-11</t>
  </si>
  <si>
    <t>12-13</t>
  </si>
  <si>
    <t>14-15</t>
  </si>
  <si>
    <t>16-20</t>
  </si>
  <si>
    <t>0-330</t>
  </si>
  <si>
    <t>331-368</t>
  </si>
  <si>
    <t>369-397</t>
  </si>
  <si>
    <t>398-457</t>
  </si>
  <si>
    <t>458-502</t>
  </si>
  <si>
    <t>503-522</t>
  </si>
  <si>
    <t>523-548</t>
  </si>
  <si>
    <t>549-699</t>
  </si>
  <si>
    <t>0-341</t>
  </si>
  <si>
    <t>342-374</t>
  </si>
  <si>
    <t>375-405</t>
  </si>
  <si>
    <t>406-452</t>
  </si>
  <si>
    <t>453-498</t>
  </si>
  <si>
    <t>499-523</t>
  </si>
  <si>
    <t>524-548</t>
  </si>
  <si>
    <t>Education &amp; First Official Language</t>
  </si>
  <si>
    <t>Education &amp; Canadian Work Experience</t>
  </si>
  <si>
    <t>Foreign Work Experience &amp; First Official Language</t>
  </si>
  <si>
    <t>Foreign Work Experience &amp; Canadian Work Experience</t>
  </si>
  <si>
    <t>Comprehensive Ranking System (CRS) Simulator</t>
  </si>
  <si>
    <t>Transferability Matrix</t>
  </si>
  <si>
    <t>CLB 10+</t>
  </si>
  <si>
    <t>海外工作经验×语言能力</t>
  </si>
  <si>
    <t>教育背景×加拿大工作经验</t>
  </si>
  <si>
    <t>海外工作经验×加拿大工作经验</t>
  </si>
  <si>
    <t>Provincial Nomination Certificate</t>
  </si>
  <si>
    <t>399</t>
  </si>
  <si>
    <t>CLB3-</t>
  </si>
  <si>
    <t>CLB4</t>
  </si>
  <si>
    <t>CLB6</t>
  </si>
  <si>
    <t>CLB7</t>
  </si>
  <si>
    <t>CLB8</t>
  </si>
  <si>
    <t>CLB9</t>
  </si>
  <si>
    <t>CLB10+</t>
  </si>
  <si>
    <t>CLB等级</t>
  </si>
  <si>
    <t>First Language Single</t>
  </si>
  <si>
    <t>First Language Married</t>
  </si>
  <si>
    <t>not applicable</t>
  </si>
  <si>
    <t>CRS Grand Total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</si>
</sst>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Alignme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/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3" fillId="2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5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2" fillId="3" borderId="0" xfId="0" applyFont="1" applyFill="1"/>
    <xf numFmtId="0" fontId="0" fillId="0" borderId="0" xfId="0" applyAlignment="1">
      <alignment horizontal="right"/>
    </xf>
    <xf numFmtId="0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3" fillId="0" borderId="0" xfId="0" applyFont="1" applyFill="1" applyAlignment="1">
      <alignment horizontal="right"/>
    </xf>
    <xf numFmtId="0" fontId="7" fillId="0" borderId="0" xfId="0" applyFont="1" applyFill="1"/>
    <xf numFmtId="0" fontId="0" fillId="3" borderId="0" xfId="0" applyFill="1" applyAlignment="1"/>
    <xf numFmtId="0" fontId="5" fillId="6" borderId="0" xfId="0" applyFont="1" applyFill="1"/>
    <xf numFmtId="0" fontId="5" fillId="6" borderId="0" xfId="0" applyFont="1" applyFill="1" applyAlignment="1">
      <alignment vertical="center"/>
    </xf>
    <xf numFmtId="0" fontId="9" fillId="2" borderId="0" xfId="0" applyFont="1" applyFill="1" applyAlignment="1">
      <alignment horizontal="right"/>
    </xf>
    <xf numFmtId="0" fontId="5" fillId="6" borderId="0" xfId="0" applyFont="1" applyFill="1" applyBorder="1"/>
    <xf numFmtId="0" fontId="7" fillId="5" borderId="0" xfId="0" applyFont="1" applyFill="1" applyAlignment="1">
      <alignment horizontal="left"/>
    </xf>
    <xf numFmtId="164" fontId="0" fillId="0" borderId="0" xfId="0" applyNumberFormat="1"/>
    <xf numFmtId="0" fontId="2" fillId="8" borderId="0" xfId="0" applyFont="1" applyFill="1"/>
    <xf numFmtId="0" fontId="9" fillId="2" borderId="0" xfId="0" applyFont="1" applyFill="1" applyAlignment="1">
      <alignment horizontal="left"/>
    </xf>
    <xf numFmtId="0" fontId="0" fillId="5" borderId="0" xfId="0" applyFill="1"/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0" fillId="5" borderId="3" xfId="0" applyFill="1" applyBorder="1"/>
    <xf numFmtId="0" fontId="0" fillId="0" borderId="4" xfId="0" applyFill="1" applyBorder="1"/>
    <xf numFmtId="0" fontId="0" fillId="0" borderId="5" xfId="0" applyBorder="1"/>
    <xf numFmtId="0" fontId="0" fillId="0" borderId="6" xfId="0" applyFill="1" applyBorder="1"/>
    <xf numFmtId="0" fontId="0" fillId="0" borderId="0" xfId="0" applyFill="1" applyBorder="1"/>
    <xf numFmtId="0" fontId="0" fillId="0" borderId="7" xfId="0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Border="1"/>
    <xf numFmtId="0" fontId="3" fillId="5" borderId="3" xfId="0" applyFont="1" applyFill="1" applyBorder="1"/>
    <xf numFmtId="0" fontId="3" fillId="0" borderId="6" xfId="0" applyFont="1" applyBorder="1"/>
    <xf numFmtId="0" fontId="3" fillId="0" borderId="8" xfId="0" applyFont="1" applyBorder="1"/>
    <xf numFmtId="0" fontId="0" fillId="9" borderId="3" xfId="0" applyFill="1" applyBorder="1"/>
    <xf numFmtId="0" fontId="0" fillId="0" borderId="6" xfId="0" applyBorder="1"/>
    <xf numFmtId="0" fontId="0" fillId="0" borderId="0" xfId="0" applyBorder="1"/>
    <xf numFmtId="0" fontId="0" fillId="0" borderId="8" xfId="0" applyBorder="1"/>
    <xf numFmtId="0" fontId="3" fillId="9" borderId="3" xfId="0" applyFont="1" applyFill="1" applyBorder="1"/>
    <xf numFmtId="0" fontId="0" fillId="7" borderId="3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49" fontId="3" fillId="4" borderId="3" xfId="0" applyNumberFormat="1" applyFont="1" applyFill="1" applyBorder="1" applyAlignment="1">
      <alignment horizontal="left"/>
    </xf>
    <xf numFmtId="49" fontId="3" fillId="0" borderId="6" xfId="0" applyNumberFormat="1" applyFont="1" applyFill="1" applyBorder="1" applyAlignment="1">
      <alignment horizontal="left"/>
    </xf>
    <xf numFmtId="49" fontId="3" fillId="0" borderId="8" xfId="0" applyNumberFormat="1" applyFont="1" applyFill="1" applyBorder="1" applyAlignment="1">
      <alignment horizontal="left"/>
    </xf>
    <xf numFmtId="0" fontId="0" fillId="0" borderId="3" xfId="0" applyFill="1" applyBorder="1"/>
    <xf numFmtId="0" fontId="0" fillId="0" borderId="4" xfId="0" applyBorder="1"/>
    <xf numFmtId="0" fontId="0" fillId="0" borderId="7" xfId="0" applyFill="1" applyBorder="1"/>
    <xf numFmtId="49" fontId="0" fillId="0" borderId="9" xfId="0" applyNumberFormat="1" applyFill="1" applyBorder="1" applyAlignment="1">
      <alignment horizontal="right"/>
    </xf>
    <xf numFmtId="0" fontId="0" fillId="0" borderId="10" xfId="0" applyFill="1" applyBorder="1"/>
    <xf numFmtId="0" fontId="3" fillId="0" borderId="3" xfId="0" applyFont="1" applyFill="1" applyBorder="1"/>
    <xf numFmtId="0" fontId="3" fillId="0" borderId="6" xfId="0" applyFont="1" applyFill="1" applyBorder="1"/>
    <xf numFmtId="0" fontId="3" fillId="0" borderId="8" xfId="0" applyFont="1" applyFill="1" applyBorder="1"/>
    <xf numFmtId="0" fontId="0" fillId="10" borderId="3" xfId="0" applyFill="1" applyBorder="1"/>
    <xf numFmtId="0" fontId="0" fillId="0" borderId="3" xfId="0" applyFill="1" applyBorder="1" applyAlignment="1">
      <alignment horizontal="left"/>
    </xf>
    <xf numFmtId="49" fontId="3" fillId="0" borderId="3" xfId="0" applyNumberFormat="1" applyFont="1" applyFill="1" applyBorder="1" applyAlignment="1">
      <alignment horizontal="left"/>
    </xf>
    <xf numFmtId="0" fontId="11" fillId="0" borderId="0" xfId="0" applyFont="1" applyAlignment="1">
      <alignment horizontal="left"/>
    </xf>
    <xf numFmtId="49" fontId="0" fillId="5" borderId="0" xfId="0" applyNumberFormat="1" applyFill="1"/>
    <xf numFmtId="0" fontId="0" fillId="5" borderId="0" xfId="0" applyNumberFormat="1" applyFill="1"/>
    <xf numFmtId="0" fontId="3" fillId="0" borderId="2" xfId="0" applyFont="1" applyBorder="1" applyAlignment="1"/>
    <xf numFmtId="1" fontId="0" fillId="0" borderId="0" xfId="0" applyNumberFormat="1" applyAlignment="1">
      <alignment horizontal="left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1" fontId="0" fillId="0" borderId="0" xfId="0" applyNumberFormat="1"/>
    <xf numFmtId="0" fontId="3" fillId="0" borderId="0" xfId="0" applyNumberFormat="1" applyFont="1" applyFill="1" applyAlignment="1">
      <alignment horizontal="right"/>
    </xf>
    <xf numFmtId="1" fontId="3" fillId="0" borderId="0" xfId="0" applyNumberFormat="1" applyFont="1" applyFill="1" applyAlignment="1">
      <alignment horizontal="right"/>
    </xf>
    <xf numFmtId="0" fontId="0" fillId="0" borderId="0" xfId="0" applyAlignment="1"/>
    <xf numFmtId="0" fontId="11" fillId="0" borderId="0" xfId="0" applyFont="1" applyAlignment="1">
      <alignment vertical="center"/>
    </xf>
    <xf numFmtId="0" fontId="10" fillId="0" borderId="1" xfId="1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12" fillId="6" borderId="0" xfId="0" applyFont="1" applyFill="1" applyBorder="1" applyAlignment="1">
      <alignment horizontal="right"/>
    </xf>
    <xf numFmtId="0" fontId="0" fillId="0" borderId="0" xfId="0" applyFill="1" applyAlignment="1"/>
    <xf numFmtId="0" fontId="7" fillId="5" borderId="0" xfId="0" applyFont="1" applyFill="1" applyAlignment="1"/>
    <xf numFmtId="0" fontId="3" fillId="0" borderId="2" xfId="0" applyFont="1" applyBorder="1" applyAlignment="1">
      <alignment horizontal="left"/>
    </xf>
    <xf numFmtId="0" fontId="0" fillId="0" borderId="0" xfId="0" applyAlignment="1">
      <alignment horizontal="right"/>
    </xf>
    <xf numFmtId="0" fontId="10" fillId="0" borderId="1" xfId="1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1"/>
  <sheetViews>
    <sheetView tabSelected="1" zoomScale="90" zoomScaleNormal="90" workbookViewId="0">
      <selection activeCell="G13" sqref="G13"/>
    </sheetView>
  </sheetViews>
  <sheetFormatPr defaultRowHeight="14.4" x14ac:dyDescent="0.3"/>
  <cols>
    <col min="1" max="1" width="52.33203125" bestFit="1" customWidth="1"/>
    <col min="2" max="2" width="35.88671875" customWidth="1"/>
    <col min="3" max="3" width="20.33203125" customWidth="1"/>
    <col min="4" max="4" width="19" customWidth="1"/>
  </cols>
  <sheetData>
    <row r="1" spans="1:4" ht="21.6" thickBot="1" x14ac:dyDescent="0.35">
      <c r="A1" s="95" t="s">
        <v>174</v>
      </c>
      <c r="B1" s="95"/>
      <c r="C1" s="95"/>
      <c r="D1" s="86"/>
    </row>
    <row r="2" spans="1:4" ht="16.2" thickTop="1" x14ac:dyDescent="0.3">
      <c r="A2" s="28" t="s">
        <v>0</v>
      </c>
      <c r="B2" s="93"/>
      <c r="C2" s="76"/>
      <c r="D2" s="76"/>
    </row>
    <row r="3" spans="1:4" ht="15.6" x14ac:dyDescent="0.3">
      <c r="A3" s="92" t="s">
        <v>1</v>
      </c>
      <c r="B3" s="92"/>
      <c r="C3" s="32"/>
      <c r="D3" s="16"/>
    </row>
    <row r="4" spans="1:4" ht="15.6" x14ac:dyDescent="0.3">
      <c r="A4" s="28" t="s">
        <v>2</v>
      </c>
      <c r="B4" s="15"/>
      <c r="C4" s="15"/>
      <c r="D4" s="1" t="str">
        <f>IF(OR(B2="",B4=""),"",INDEX('Age Matrix'!C7:D35,MATCH($B$4,'Age Matrix'!B7:B35,0),MATCH($B$2,'Age Matrix'!C6:D6,0)))</f>
        <v/>
      </c>
    </row>
    <row r="5" spans="1:4" ht="15.6" x14ac:dyDescent="0.3">
      <c r="A5" s="29" t="s">
        <v>88</v>
      </c>
      <c r="B5" s="4"/>
      <c r="C5" s="4"/>
      <c r="D5" s="4" t="str">
        <f>IF(B5="","",IF($B$2="Single (or apply without spouse or common-law partner)",INDEX('Education Matrix'!$B$6:$C$13,MATCH($B$5,Education_Single,0),2),INDEX('Education Matrix'!$B$19:$C$26,MATCH($B$5,Education_Married,0),2)))</f>
        <v/>
      </c>
    </row>
    <row r="6" spans="1:4" ht="15.6" x14ac:dyDescent="0.3">
      <c r="A6" s="29" t="s">
        <v>89</v>
      </c>
      <c r="B6" s="15"/>
      <c r="C6" s="15"/>
      <c r="D6" s="4"/>
    </row>
    <row r="7" spans="1:4" ht="15.6" x14ac:dyDescent="0.3">
      <c r="A7" s="35" t="s">
        <v>114</v>
      </c>
      <c r="B7" s="15"/>
      <c r="C7" s="82" t="str">
        <f>IF(B7="","",IF(OR($B$7="IELTS",$B$7="CELPIP"),"CLB","NCLC"))</f>
        <v/>
      </c>
      <c r="D7" s="1"/>
    </row>
    <row r="8" spans="1:4" ht="15.6" x14ac:dyDescent="0.3">
      <c r="A8" s="17" t="s">
        <v>76</v>
      </c>
      <c r="B8" s="88"/>
      <c r="C8" s="82" t="str">
        <f>IF(OR(AND($B$7="IELTS",OR($B8="0-3",$B8=3.5)),AND($B$7="CELPIP",$B8=3),AND($B$7="TEF Canada",$B8="0-180"),AND($B$7="TCF Canada",$B8="0-3")),3,IF(OR(AND($B$7="IELTS",OR($B8=4,$B8=4.5)),AND($B$7="CELPIP",$B8=4),AND($B$7="TEF Canada",$B8="181-225"),AND($B$7="TCF Canada",$B8="4-5")),4,IF(OR(AND($B$7="IELTS",$B8=5),AND($B$7="CELPIP",$B8=5),AND($B$7="TEF Canada",$B8="226-270"),AND($B$7="TCF Canada",$B8=6)),5,IF(OR(AND($B$7="IELTS",$B8=5.5),AND($B$7="CELPIP",$B8=6),AND($B$7="TEF Canada",$B8="271-309"),AND($B$7="TCF Canada",$B8="7-9")),6,IF(OR(AND($B$7="IELTS",$B8=6),AND($B$7="CELPIP",$B8=7),AND($B$7="TEF Canada",$B8="310-348"),AND($B$7="TCF Canada",$B8="10-11")),7,IF(OR(AND($B$7="IELTS",$B8=6.5),AND($B$7="CELPIP",$B8=8),AND($B$7="TEF Canada",$B8="349-370"),AND($B$7="TCF Canada",$B8="12-13")),8,IF(OR(AND($B$7="IELTS",$B8=7),AND($B$7="CELPIP",$B8=9),AND($B$7="TEF Canada",$B8="371-392"),AND($B$7="TCF Canada",$B8="14-15")),9,IF(OR(AND($B$7="IELTS",OR($B8=7.5,$B8=8,$B8=8.5,$B8=9)),AND($B$7="CELPIP",OR($B8=10,$B8=11,$B8=12)),AND($B$7="TEF Canada",$B8="393-450"),AND($B$7="TCF Canada",$B8="16-20")),10,""))))))))</f>
        <v/>
      </c>
      <c r="D8" s="25" t="str">
        <f>IF(C8="","",IF($B$2="Single (or apply without spouse or common-law partner)",VLOOKUP($C8,'Language Matrix'!$H$62:$I$69,2,FALSE),VLOOKUP($C8,'Language Matrix'!$K$62:$L$69,2,FALSE)))</f>
        <v/>
      </c>
    </row>
    <row r="9" spans="1:4" ht="15.6" x14ac:dyDescent="0.3">
      <c r="A9" s="17" t="s">
        <v>77</v>
      </c>
      <c r="B9" s="88"/>
      <c r="C9" s="82" t="str">
        <f>IF(OR(AND($B$7="IELTS",OR($B9="0-3",$B9=3.5,$B9=4)),AND($B$7="CELPIP",$B9=3),AND($B$7="TEF Canada",$B9="0-144"),AND($B$7="TCF Canada",$B9="0-330")),3,IF(OR(AND($B$7="IELTS",$B9=4.5),AND($B$7="CELPIP",$B9=4),AND($B$7="TEF Canada",$B9="145-180"),AND($B$7="TCF Canada",$B9="331-368")),4,IF(OR(AND($B$7="IELTS",$B9=5),AND($B$7="CELPIP",$B9=5),AND($B$7="TEF Canada",$B9="181-216"),AND($B$7="TCF Canada",$B9="369-397")),5,IF(OR(AND($B$7="IELTS",$B9=5.5),AND($B$7="CELPIP",$B9=6),AND($B$7="TEF Canada",$B9="217-248"),AND($B$7="TCF Canada",$B9="398-457")),6,IF(OR(AND($B$7="IELTS",OR($B9=6,$B9=6.5,$B9=7)),AND($B$7="CELPIP",$B9=7),AND($B$7="TEF Canada",$B9="249-279"),AND($B$7="TCF Canada",$B9="458-502")),7,IF(OR(AND($B$7="IELTS",$B9=7.5),AND($B$7="CELPIP",$B9=8),AND($B$7="TEF Canada",$B9="280-297"),AND($B$7="TCF Canada",$B9="503-522")),8,IF(OR(AND($B$7="IELTS",$B9=8),AND($B$7="CELPIP",$B9=9),AND($B$7="TEF Canada",$B9="298-315"),AND($B$7="TCF Canada",$B9="523-548")),9,IF(OR(AND($B$7="IELTS",OR($B9=8.5,$B9=9)),AND($B$7="CELPIP",OR($B9=10,$B9=11,$B9=12)),AND($B$7="TEF Canada",$B9="316-360"),AND($B$7="TCF Canada",$B9="549-699")),10,""))))))))</f>
        <v/>
      </c>
      <c r="D9" s="25" t="str">
        <f>IF(C9="","",IF($B$2="Single (or apply without spouse or common-law partner)",VLOOKUP($C9,'Language Matrix'!$H$62:$I$69,2,FALSE),VLOOKUP($C9,'Language Matrix'!$K$62:$L$69,2,FALSE)))</f>
        <v/>
      </c>
    </row>
    <row r="10" spans="1:4" ht="15.6" x14ac:dyDescent="0.3">
      <c r="A10" s="17" t="s">
        <v>78</v>
      </c>
      <c r="B10" s="88"/>
      <c r="C10" s="82" t="str">
        <f>IF(OR(AND($B$7="IELTS",$B10="0-3"),AND($B$7="CELPIP",$B10=3),AND($B$7="TEF Canada",$B10="0-120"),AND($B$7="TCF Canada",$B10="0-341")),3,IF(OR(AND($B$7="IELTS",$B10=3.5),AND($B$7="CELPIP",$B10=4),AND($B$7="TEF Canada",$B10="121-150"),AND($B$7="TCF Canada",$B10="342-374")),4,IF(OR(AND($B$7="IELTS",OR($B10=4,$B10=4.5)),AND($B$7="CELPIP",$B10=5),AND($B$7="TEF Canada",$B10="151-180"),AND($B$7="TCF Canada",$B10="375-405")),5,IF(OR(AND($B$7="IELTS",OR($B10=5,$B10=5.5)),AND($B$7="CELPIP",$B10=6),AND($B$7="TEF Canada",$B10="181-206"),AND($B$7="TCF Canada",$B10="406-452")),6,IF(OR(AND($B$7="IELTS",$B10=6),AND($B$7="CELPIP",$B10=7),AND($B$7="TEF Canada",$B10="207-232"),AND($B$7="TCF Canada",$B10="453-498")),7,IF(OR(AND($B$7="IELTS",$B10=6.5),AND($B$7="CELPIP",$B10=8),AND($B$7="TEF Canada",$B10="233-247"),AND($B$7="TCF Canada",$B10="499-523")),8,IF(OR(AND($B$7="IELTS",OR($B10=7,$B10=7.5)),AND($B$7="CELPIP",$B10=9),AND($B$7="TEF Canada",$B10="248-262"),AND($B$7="TCF Canada",$B10="524-548")),9,IF(OR(AND($B$7="IELTS",OR($B10=8.5,$B10=9,$B10=8)),AND($B$7="CELPIP",OR($B10=10,$B10=11,$B10=12)),AND($B$7="TEF Canada",$B10="263-300"),AND($B$7="TCF Canada",$B10="549-699")),10,""))))))))</f>
        <v/>
      </c>
      <c r="D10" s="25" t="str">
        <f>IF(C10="","",IF($B$2="Single (or apply without spouse or common-law partner)",VLOOKUP($C10,'Language Matrix'!$H$62:$I$69,2,FALSE),VLOOKUP($C10,'Language Matrix'!$K$62:$L$69,2,FALSE)))</f>
        <v/>
      </c>
    </row>
    <row r="11" spans="1:4" ht="15.6" x14ac:dyDescent="0.3">
      <c r="A11" s="17" t="s">
        <v>79</v>
      </c>
      <c r="B11" s="88"/>
      <c r="C11" s="82" t="str">
        <f>IF(OR(AND($B$7="IELTS",OR($B11="0-3",$B11=3.5)),AND($B$7="CELPIP",$B11=3),AND($B$7="TEF Canada",$B11="0-180"),AND($B$7="TCF Canada",$B11="0-3")),3,IF(OR(AND($B$7="IELTS",OR($B11=4,$B11=4.5)),AND($B$7="CELPIP",$B11=4),AND($B$7="TEF Canada",$B11="181-225"),AND($B$7="TCF Canada",$B11="4-5")),4,IF(OR(AND($B$7="IELTS",$B11=5),AND($B$7="CELPIP",$B11=5),AND($B$7="TEF Canada",$B11="226-270"),AND($B$7="TCF Canada",$B11=6)),5,IF(OR(AND($B$7="IELTS",$B11=5.5),AND($B$7="CELPIP",$B11=6),AND($B$7="TEF Canada",$B11="271-309"),AND($B$7="TCF Canada",$B11="7-9")),6,IF(OR(AND($B$7="IELTS",$B11=6),AND($B$7="CELPIP",$B11=7),AND($B$7="TEF Canada",$B11="310-348"),AND($B$7="TCF Canada",$B11="10-11")),7,IF(OR(AND($B$7="IELTS",$B11=6.5),AND($B$7="CELPIP",$B11=8),AND($B$7="TEF Canada",$B11="349-370"),AND($B$7="TCF Canada",$B11="12-13")),8,IF(OR(AND($B$7="IELTS",$B11=7),AND($B$7="CELPIP",$B11=9),AND($B$7="TEF Canada",$B11="371-392"),AND($B$7="TCF Canada",$B11="14-15")),9,IF(OR(AND($B$7="IELTS",OR($B11=7.5,$B11=8,$B11=8.5,$B11=9)),AND($B$7="CELPIP",OR($B11=10,$B11=11,$B11=12)),AND($B$7="TEF Canada",$B11="393-450"),AND($B$7="TCF Canada",$B11="16-20")),10,""))))))))</f>
        <v/>
      </c>
      <c r="D11" s="25" t="str">
        <f>IF(C11="","",IF($B$2="Single (or apply without spouse or common-law partner)",VLOOKUP($C11,'Language Matrix'!$H$62:$I$69,2,FALSE),VLOOKUP($C11,'Language Matrix'!$K$62:$L$69,2,FALSE)))</f>
        <v/>
      </c>
    </row>
    <row r="12" spans="1:4" ht="15.6" x14ac:dyDescent="0.3">
      <c r="A12" s="35" t="s">
        <v>115</v>
      </c>
      <c r="C12" s="82" t="str">
        <f>IF(OR($B$12="IELTS",$B$12="CELPIP"),"CLB",IF(OR($B$12="TEF Canada",$B$12="TCF Canada"),"NCLC",""))</f>
        <v/>
      </c>
      <c r="D12" s="1"/>
    </row>
    <row r="13" spans="1:4" ht="15.6" x14ac:dyDescent="0.3">
      <c r="A13" s="17" t="s">
        <v>76</v>
      </c>
      <c r="B13" s="88"/>
      <c r="C13" s="83" t="str">
        <f>IF(OR(AND($B$12="IELTS",OR($B13="0-3",$B13=3.5)),AND($B$12="CELPIP",$B13=3),AND($B$12="TEF Canada",$B13="0-180"),AND($B$12="TCF Canada",$B13="0-3")),3,IF(OR(AND($B$12="IELTS",OR($B13=4,$B13=4.5)),AND($B$12="CELPIP",$B13=4),AND($B$12="TEF Canada",$B13="181-225"),AND($B$12="TCF Canada",$B13="4-5")),4,IF(OR(AND($B$12="IELTS",$B13=5),AND($B$12="CELPIP",$B13=5),AND($B$12="TEF Canada",$B13="226-270"),AND($B$12="TCF Canada",$B13=6)),5,IF(OR(AND($B$12="IELTS",$B13=5.5),AND($B$12="CELPIP",$B13=6),AND($B$12="TEF Canada",$B13="271-309"),AND($B$12="TCF Canada",$B13="7-9")),6,IF(OR(AND($B$12="IELTS",$B13=6),AND($B$12="CELPIP",$B13=7),AND($B$12="TEF Canada",$B13="310-348"),AND($B$12="TCF Canada",$B13="10-11")),7,IF(OR(AND($B$12="IELTS",$B13=6.5),AND($B$12="CELPIP",$B13=8),AND($B$12="TEF Canada",$B13="349-370"),AND($B$12="TCF Canada",$B13="12-13")),8,IF(OR(AND($B$12="IELTS",$B13=7),AND($B$12="CELPIP",$B13=9),AND($B$12="TEF Canada",$B13="371-392"),AND($B12="TCF Canada",$B13="14-15")),9,IF(OR(AND($B$12="IELTS",OR($B13=7.5,$B13=8,$B13=8.5,$B13=9)),AND($B$12="CELPIP",OR($B13=10,$B13=11,$B13=12)),AND($B$12="TEF Canada",$B13="393-450"),AND($B$12="TCF Canada",$B13="16-20")),10,""))))))))</f>
        <v/>
      </c>
      <c r="D13" s="1" t="str">
        <f>IF($C13="","",VLOOKUP($C13,'Language Matrix'!$N$62:$O$69,2,FALSE))</f>
        <v/>
      </c>
    </row>
    <row r="14" spans="1:4" ht="15.6" x14ac:dyDescent="0.3">
      <c r="A14" s="17" t="s">
        <v>77</v>
      </c>
      <c r="B14" s="88"/>
      <c r="C14" s="83" t="str">
        <f>IF(OR(AND($B$12="IELTS",OR($B14="0-3",$B14=3.5,$B14=4)),AND($B$12="CELPIP",$B14=3),AND($B$12="TEF Canada",$B14="0-144"),AND($B$12="TCF Canada",$B14="0-330")),3,IF(OR(AND($B$12="IELTS",$B14=4.5),AND($B$12="CELPIP",$B14=4),AND($B$12="TEF Canada",$B14="145-180"),AND($B$12="TCF Canada",$B14="331-368")),4,IF(OR(AND($B$12="IELTS",$B14=5),AND($B$12="CELPIP",$B14=5),AND($B$12="TEF Canada",$B14="181-216"),AND($B$12="TCF Canada",$B14="369-397")),5,IF(OR(AND($B$12="IELTS",$B14=5.5),AND($B$12="CELPIP",$B14=6),AND($B$12="TEF Canada",$B14="217-248"),AND($B$12="TCF Canada",$B14="398-457")),6,IF(OR(AND($B$12="IELTS",OR($B14=6,$B14=6.5,$B14=7)),AND($B$12="CELPIP",$B14=7),AND($B$12="TEF Canada",$B14="249-279"),AND($B$12="TCF Canada",$B14="458-502")),7,IF(OR(AND($B$12="IELTS",$B14=7.5),AND($B$12="CELPIP",$B14=8),AND($B$12="TEF Canada",$B14="280-297"),AND($B$12="TCF Canada",$B14="503-522")),8,IF(OR(AND($B$12="IELTS",$B14=8),AND($B$12="CELPIP",$B14=9),AND($B$12="TEF Canada",$B14="298-315"),AND($B$12="TCF Canada",$B14="523-548")),9,IF(OR(AND($B$12="IELTS",OR($B14=8.5,$B14=9)),AND($B$12="CELPIP",OR($B14=10,$B14=11,$B14=12)),AND($B$12="TEF Canada",$B14="316-360"),AND($B$12="TCF Canada",$B14="549-699")),10,""))))))))</f>
        <v/>
      </c>
      <c r="D14" s="1" t="str">
        <f>IF($C14="","",VLOOKUP($C14,'Language Matrix'!$N$62:$O$69,2,FALSE))</f>
        <v/>
      </c>
    </row>
    <row r="15" spans="1:4" ht="15.6" x14ac:dyDescent="0.3">
      <c r="A15" s="17" t="s">
        <v>78</v>
      </c>
      <c r="B15" s="88"/>
      <c r="C15" s="83" t="str">
        <f>IF(OR(AND($B$12="IELTS",$B15="0-3"),AND($B$12="CELPIP",$B15=3),AND($B$12="TEF Canada",$B15="0-120"),AND($B$12="TCF Canada",$B15="0-341")),3,IF(OR(AND($B$12="IELTS",$B15=3.5),AND($B$12="CELPIP",$B15=4),AND($B$12="TEF Canada",$B15="121-150"),AND($B$12="TCF Canada",$B15="342-374")),4,IF(OR(AND($B$12="IELTS",OR($B15=4,$B15=4.5)),AND($B$12="CELPIP",$B15=5),AND($B$12="TEF Canada",$B15="151-180"),AND($B$12="TCF Canada",$B15="375-405")),5,IF(OR(AND($B$12="IELTS",OR($B15=5,$B15=5.5)),AND($B$12="CELPIP",$B15=6),AND($B$12="TEF Canada",$B15="181-206"),AND($B$12="TCF Canada",$B15="406-452")),6,IF(OR(AND($B$12="IELTS",$B15=6),AND($B$12="CELPIP",$B15=7),AND($B$12="TEF Canada",$B15="207-232"),AND($B$12="TCF Canada",$B15="453-498")),7,IF(OR(AND($B$12="IELTS",$B15=6.5),AND($B$12="CELPIP",$B15=8),AND($B$12="TEF Canada",$B15="233-247"),AND($B$12="TCF Canada",$B15="499-523")),8,IF(OR(AND($B$12="IELTS",OR($B15=7,$B15=7.5)),AND($B$12="CELPIP",$B15=9),AND($B$12="TEF Canada",$B15="248-262"),AND($B$12="TCF Canada",$B15="524-548")),9,IF(OR(AND($B$12="IELTS",OR($B15=8.5,$B15=9,$B15=8)),AND($B$12="CELPIP",OR($B15=10,$B15=11,$B15=12)),AND($B$12="TEF Canada",$B15="263-300"),AND($B$12="TCF Canada",$B15="549-699")),10,""))))))))</f>
        <v/>
      </c>
      <c r="D15" s="1" t="str">
        <f>IF(C15="","",VLOOKUP($C15,'Language Matrix'!$N$62:$O$69,2,FALSE))</f>
        <v/>
      </c>
    </row>
    <row r="16" spans="1:4" ht="15.6" x14ac:dyDescent="0.3">
      <c r="A16" s="17" t="s">
        <v>79</v>
      </c>
      <c r="B16" s="88"/>
      <c r="C16" s="83" t="str">
        <f>IF(OR(AND($B$12="IELTS",OR($B16="0-3",$B16=3.5)),AND($B$12="CELPIP",$B16=3),AND($B$12="TEF Canada",$B16="0-180"),AND($B$12="TCF Canada",$B16="0-3")),3,IF(OR(AND($B$12="IELTS",OR($B16=4,$B16=4.5)),AND($B$12="CELPIP",$B16=4),AND($B$12="TEF Canada",$B16="181-225"),AND($B$12="TCF Canada",$B16="4-5")),4,IF(OR(AND($B$12="IELTS",$B16=5),AND($B$12="CELPIP",$B16=5),AND($B$12="TEF Canada",$B16="226-270"),AND($B$12="TCF Canada",$B16=6)),5,IF(OR(AND($B$12="IELTS",$B16=5.5),AND($B$12="CELPIP",$B16=6),AND($B$12="TEF Canada",$B16="271-309"),AND($B$12="TCF Canada",$B16="7-9")),6,IF(OR(AND($B$12="IELTS",$B16=6),AND($B$12="CELPIP",$B16=7),AND($B$12="TEF Canada",$B16="310-348"),AND($B$12="TCF Canada",$B16="10-11")),7,IF(OR(AND($B$12="IELTS",$B16=6.5),AND($B$12="CELPIP",$B16=8),AND($B$12="TEF Canada",$B16="349-370"),AND($B$12="TCF Canada",$B16="12-13")),8,IF(OR(AND($B$12="IELTS",$B16=7),AND($B$12="CELPIP",$B16=9),AND($B$12="TEF Canada",$B16="371-392"),AND($B$12="TCF Canada",$B16="14-15")),9,IF(OR(AND($B$12="IELTS",OR($B16=7.5,$B16=8,$B16=8.5,$B16=9)),AND($B$12="CELPIP",OR($B16=10,$B16=11,$B16=12)),AND($B$12="TEF Canada",$B16="393-450"),AND($B$12="TCF Canada",$B16="16-20")),10,""))))))))</f>
        <v/>
      </c>
      <c r="D16" s="1" t="str">
        <f>IF(C16="","",VLOOKUP($C16,'Language Matrix'!$N$62:$O$69,2,FALSE))</f>
        <v/>
      </c>
    </row>
    <row r="17" spans="1:4" ht="15.6" x14ac:dyDescent="0.3">
      <c r="A17" s="28" t="s">
        <v>6</v>
      </c>
      <c r="B17" s="15"/>
      <c r="C17" s="15"/>
      <c r="D17" s="1"/>
    </row>
    <row r="18" spans="1:4" ht="15.6" x14ac:dyDescent="0.3">
      <c r="A18" s="30" t="s">
        <v>116</v>
      </c>
      <c r="B18" s="88"/>
      <c r="C18" s="15"/>
      <c r="D18" s="96" t="str">
        <f>IF(B18="","",IF($B$2="Single (or apply without spouse or common-law partner)",VLOOKUP($B$18,'Work Matrix'!$B$5:$C$10,2,FALSE),VLOOKUP($B$18,'Work Matrix'!$B$16:$C$21,2,FALSE)))</f>
        <v/>
      </c>
    </row>
    <row r="19" spans="1:4" ht="15.6" x14ac:dyDescent="0.3">
      <c r="A19" s="30" t="s">
        <v>113</v>
      </c>
      <c r="B19" s="88"/>
      <c r="C19" s="15"/>
      <c r="D19" s="96"/>
    </row>
    <row r="20" spans="1:4" ht="15.6" x14ac:dyDescent="0.3">
      <c r="A20" s="92" t="s">
        <v>7</v>
      </c>
      <c r="B20" s="92"/>
      <c r="C20" s="32"/>
      <c r="D20" s="16"/>
    </row>
    <row r="21" spans="1:4" ht="15.6" x14ac:dyDescent="0.3">
      <c r="A21" s="28" t="s">
        <v>107</v>
      </c>
      <c r="B21" s="89"/>
      <c r="C21" s="2"/>
      <c r="D21" s="1" t="str">
        <f>IF(OR($B$2="Single (or apply without spouse or common-law partner)",$B$21="",$B$21="not applicable"),"",VLOOKUP($B$21,'Spouse Matix'!$C$4:$D$11,2,FALSE))</f>
        <v/>
      </c>
    </row>
    <row r="22" spans="1:4" ht="15.6" x14ac:dyDescent="0.3">
      <c r="A22" s="28" t="s">
        <v>9</v>
      </c>
      <c r="B22" s="89"/>
      <c r="C22" s="1"/>
      <c r="D22" s="1"/>
    </row>
    <row r="23" spans="1:4" ht="15.6" x14ac:dyDescent="0.3">
      <c r="A23" s="17" t="s">
        <v>76</v>
      </c>
      <c r="B23" s="88"/>
      <c r="C23" s="15"/>
      <c r="D23" s="14" t="str">
        <f>IF(B23="","",IF($B$2="Married (or apply with spouse or common-law partner)",IF($B$22="IELTS",VLOOKUP($B$23,'Spouse Matix'!$E$17:$F$29,2,FALSE),IF($B$22="CELPIP",VLOOKUP($B$23,'Spouse Matix'!$F$36:$G$45,2,FALSE),IF($B$22="TEF Canada",VLOOKUP($B$23,'Spouse Matix'!$E$49:$F$52,2,FALSE),IF($B$22="TCF Canada",VLOOKUP($B$23,'Spouse Matix'!$E$57:$F$60,2,FALSE),"")))),""))</f>
        <v/>
      </c>
    </row>
    <row r="24" spans="1:4" ht="15.6" x14ac:dyDescent="0.3">
      <c r="A24" s="17" t="s">
        <v>77</v>
      </c>
      <c r="B24" s="88"/>
      <c r="C24" s="15"/>
      <c r="D24" s="14" t="str">
        <f>IF(B24="","",IF($B$2="Married (or apply with spouse or common-law partner)",IF($B$22="IELTS",VLOOKUP($B$24,'Spouse Matix'!$H$17:$I$29,2,FALSE),IF($B$22="CELPIP",VLOOKUP($B$24,'Spouse Matix'!$F$36:$G$45,2,FALSE),IF($B$22="TEF Canada",VLOOKUP($B$24,'Spouse Matix'!$H$49:$I$52,2,FALSE),IF($B$22="TCF Canada",VLOOKUP($B$24,'Spouse Matix'!$H$57:$I$60,2,FALSE),"")))),""))</f>
        <v/>
      </c>
    </row>
    <row r="25" spans="1:4" ht="15.6" x14ac:dyDescent="0.3">
      <c r="A25" s="17" t="s">
        <v>78</v>
      </c>
      <c r="B25" s="88"/>
      <c r="C25" s="15"/>
      <c r="D25" s="14" t="str">
        <f>IF(B25="","",IF($B$2="Married (or apply with spouse or common-law partner)",IF($B$22="IELTS",VLOOKUP($B$25,'Spouse Matix'!$K$17:$L$29,2,FALSE),IF($B$22="CELPIP",VLOOKUP($B$25,'Spouse Matix'!$F$36:$G$45,2,FALSE),IF($B$22="TEF Canada",VLOOKUP($B$25,'Spouse Matix'!$K$49:$L$52,2,FALSE),IF($B$22="TCF Canada",VLOOKUP($B$25,'Spouse Matix'!$K$57:$L$60,2,FALSE),"")))),""))</f>
        <v/>
      </c>
    </row>
    <row r="26" spans="1:4" ht="15.6" x14ac:dyDescent="0.3">
      <c r="A26" s="17" t="s">
        <v>79</v>
      </c>
      <c r="B26" s="88"/>
      <c r="C26" s="15"/>
      <c r="D26" s="14" t="str">
        <f>IF(B26="","",IF($B$2="Married (or apply with spouse or common-law partner)",IF($B$22="IELTS",VLOOKUP($B$26,'Spouse Matix'!$N$17:$O$29,2,FALSE),IF($B$22="CELPIP",VLOOKUP($B$26,'Spouse Matix'!$F$36:$G$45,2,FALSE),IF($B$22="TEF Canada",VLOOKUP($B$26,'Spouse Matix'!$N$49:$O$52,2,FALSE),IF($B$22="TCF Canada",VLOOKUP($B$26,'Spouse Matix'!$N$57:$O$60,2,FALSE),"")))),""))</f>
        <v/>
      </c>
    </row>
    <row r="27" spans="1:4" ht="15.6" x14ac:dyDescent="0.3">
      <c r="A27" s="28" t="s">
        <v>106</v>
      </c>
      <c r="B27" s="88"/>
      <c r="C27" s="15"/>
      <c r="D27" s="1" t="str">
        <f>IF($B$2="Married (or apply with spouse or common-law partner)",VLOOKUP($B$27,'Spouse Matix'!$E$67:$F$72,2,FALSE),"")</f>
        <v/>
      </c>
    </row>
    <row r="28" spans="1:4" ht="15.6" x14ac:dyDescent="0.3">
      <c r="A28" s="92" t="s">
        <v>10</v>
      </c>
      <c r="B28" s="92"/>
      <c r="C28" s="32"/>
      <c r="D28" s="16"/>
    </row>
    <row r="29" spans="1:4" ht="15.6" x14ac:dyDescent="0.3">
      <c r="A29" s="28" t="s">
        <v>3</v>
      </c>
      <c r="B29" s="80"/>
      <c r="C29" s="73"/>
      <c r="D29" s="96" t="str">
        <f>IF(OR(B30="",B31="",B33="",B34=""),"",MIN(100,(SUM(B30+B31+B33+B34))))</f>
        <v/>
      </c>
    </row>
    <row r="30" spans="1:4" ht="15.6" x14ac:dyDescent="0.3">
      <c r="A30" s="35" t="s">
        <v>170</v>
      </c>
      <c r="B30" s="87" t="str">
        <f>IF(B5="","",IF(OR(B5="Less than high school",B5="high school graduation",OR(C8="",C8=3,C8=4,C8=5,C8=6),OR(C9=3,C9=4,C9=5,C9=6),OR(C10=3,C10=4,C10=5,C10=6),OR(C11=3,C11=4,C11=5,C11=6)),0,IF(AND(OR(B5="One-Year program",B5="Two-Year program",B5="Bachelor's degree"),OR(C8=7,C8=8),OR(C9=7,C9=8),OR(C10=7,C10=8),OR(C11=7,C11=8)),13,IF(AND(OR(B5="One-Year program",B5="Two-Year program",B5="Bachelor's degree"),OR(C8=9,C8=10),OR(C9=9,C9=10),OR(C10=9,C10=10),OR(C11=9,C11=10)),25,IF(AND(OR(B5="Two or more certificates (one must be for a three-year program)",B5="Master's degree",B5="PhD"),OR(C8=9,C8=10),OR(C9=9,C9=10),OR(C10=9,C10=10),OR(C11=9,C11=10)),50,25)))))</f>
        <v/>
      </c>
      <c r="C30" s="85"/>
      <c r="D30" s="96"/>
    </row>
    <row r="31" spans="1:4" ht="15.6" x14ac:dyDescent="0.3">
      <c r="A31" s="35" t="s">
        <v>171</v>
      </c>
      <c r="B31" s="87" t="str">
        <f>IF(B5="","",IF(OR(B5="Less than high school",B5="high school graduation",B18=0),0,IF(AND(OR(B5="One-Year program",B5="Two-Year program",B5="Bachelor's degree"),B18=1),13,IF(AND(OR(B5="One-Year program",B5="Two-Year program",B5="Bachelor's degree"),OR(B18=2,B18=3,B18=4,B18="&gt;=5")),25,IF(AND(OR(B5="Two or more certificates (one must be for a three-year program)",B5="Master's degree",B5="PhD"),B18=1),25,IF(AND(OR(B5="Two or more certificates (one must be for a three-year program)",B5="Master's degree",B5="PhD"),OR(B18=2,B18=3,B18=4,B18="&gt;=5")),50))))))</f>
        <v/>
      </c>
      <c r="C31" s="85"/>
      <c r="D31" s="96"/>
    </row>
    <row r="32" spans="1:4" ht="15.6" x14ac:dyDescent="0.3">
      <c r="A32" s="28" t="s">
        <v>113</v>
      </c>
      <c r="B32" s="80"/>
      <c r="C32" s="73"/>
      <c r="D32" s="96"/>
    </row>
    <row r="33" spans="1:4" ht="15.6" x14ac:dyDescent="0.3">
      <c r="A33" s="35" t="s">
        <v>172</v>
      </c>
      <c r="B33" s="87" t="str">
        <f>IF(B19="","",IF(OR(B19=0,OR(C8=3,C8=4,C8=5,C8=6),OR(C9=3,C9=4,C9=5,C9=6),OR(C10=3,C10=4,C10=5,C10=6),OR(C11=3,C11=4,C11=5,C11=6)),0,IF(AND(OR(B19=1,B19=2),OR(C8=7,C8=8),OR(C9=7,C9=8),OR(C10=7,C10=8),OR(C11=7,C11=8)),13,IF(AND(OR(B19=1,B19=2),OR(C8=9,C8=10),OR(C9=9,C9=10),OR(C10=9,C10=10),OR(C11=9,C11=10)),25,IF(AND(B19="&gt;=3",OR(C8=7,C8=8),OR(C9=7,C9=8),OR(C10=7,C10=8),OR(C11=7,C11=8)),25,50)))))</f>
        <v/>
      </c>
      <c r="C33" s="4"/>
      <c r="D33" s="96"/>
    </row>
    <row r="34" spans="1:4" ht="15.6" x14ac:dyDescent="0.3">
      <c r="A34" s="35" t="s">
        <v>173</v>
      </c>
      <c r="B34" s="87" t="str">
        <f>IF(B18="","",IF(OR(B19=0,B18=0),0,IF(AND(OR(B19=1,B19=2),B18=1),13,IF(AND(OR(B19=1,B19=2),OR(B18=2,B18=3,B18=4,B18="&gt;=5")),25,IF(AND(B19="&gt;=3",B18=1),25,IF(AND(B19="&gt;=3",OR(B18=2,B18=3,B18=4,B18="&gt;=5")),50))))))</f>
        <v/>
      </c>
      <c r="C34" s="4"/>
      <c r="D34" s="96"/>
    </row>
    <row r="35" spans="1:4" ht="15.6" x14ac:dyDescent="0.3">
      <c r="A35" s="92" t="s">
        <v>11</v>
      </c>
      <c r="B35" s="92"/>
      <c r="C35" s="32"/>
      <c r="D35" s="16"/>
    </row>
    <row r="36" spans="1:4" ht="15.6" x14ac:dyDescent="0.3">
      <c r="A36" s="31" t="s">
        <v>180</v>
      </c>
      <c r="C36" s="84"/>
      <c r="D36" t="str">
        <f>IF(B36="","",IF($B$36="Yes",600,0))</f>
        <v/>
      </c>
    </row>
    <row r="37" spans="1:4" ht="15.6" x14ac:dyDescent="0.3">
      <c r="A37" s="31" t="s">
        <v>117</v>
      </c>
      <c r="C37" s="10"/>
      <c r="D37" t="str">
        <f>IF(B37="","",IF($B$37="NOC 00",200,IF($B$37="any other NOC 0 or A or B",50,0)))</f>
        <v/>
      </c>
    </row>
    <row r="38" spans="1:4" ht="15.6" x14ac:dyDescent="0.3">
      <c r="A38" s="31" t="s">
        <v>118</v>
      </c>
      <c r="C38" s="84"/>
      <c r="D38" t="str">
        <f>IF(B38="","",IF($B$38="Three-year Canadian degree/diploma or Canadian Master's/PhD",30,IF($B$38="One-year/two-year Canadian degree/diploma/certificate",15,0)))</f>
        <v/>
      </c>
    </row>
    <row r="39" spans="1:4" ht="15.6" x14ac:dyDescent="0.3">
      <c r="A39" s="31" t="s">
        <v>119</v>
      </c>
      <c r="C39" s="84"/>
      <c r="D39" t="str">
        <f>IF(B39="","",IF($B$39="Yes",15,0))</f>
        <v/>
      </c>
    </row>
    <row r="40" spans="1:4" ht="15.6" x14ac:dyDescent="0.3">
      <c r="A40" s="31" t="s">
        <v>120</v>
      </c>
      <c r="B40" s="84"/>
      <c r="C40" s="84"/>
      <c r="D40" s="91" t="str">
        <f>IF(B7="","",IF(AND(C7="NCLC",OR(C8=3,C8=4,C8=5,C8=6),OR(C9=3,C9=4,C9=5,C9=6),OR(C10=3,C10=4,C10=5,C10=6),OR(C11=3,C11=4,C11=5,C11=6)),0,IF(AND(C7="NCLC",OR(C8=7,C8=8,C8=9,C8=10),OR(C9=7,C9=8,C9=9,C9=10),OR(C10=7,C10=8,C10=9,C10=10),OR(C11=7,C11=8,C11=9,C11=10),OR(C13="",C13=3,C13=4),OR(C14="",C14=3,C14=4),OR(C15="",C15=3,C15=4),OR(C16="",C16=3,C16=4)),25,IF(AND(C7="NCLC",OR(C8=7,C8=8,C8=9,C8=10),OR(C9=7,C9=8,C9=9,C9=10),OR(C10=7,C10=8,C10=9,C10=10),OR(C11=7,C11=8,C11=9,C11=10),OR(C13=5,C13=6,C13=7,C13=8,C13=9,C13=10),OR(C14=5,C14=6,C14=7,C14=8,C14=9,C14=10),OR(C15=5,C15=6,C15=7,C15=8,C15=9,C15=10),OR(C16=5,C16=6,C16=7,C16=8,C16=9,C16=10)),50,IF(AND(C12="NCLC",OR(C13=7,C13=8,C13=9,C13=10),OR(C14=7,C14=8,C14=9,C14=10),OR(C15=7,C15=8,C15=9,C15=10),OR(C16=7,C16=8,C16=9,C16=10),OR(C8="",C8=3,C8=4),OR(C9="",C9=3,C9=4),OR(C10="",C10=3,C10=4),OR(C11="",C11=3,C11=4)),25,IF(AND(C12="NCLC",OR(C13=7,C13=8,C13=9,C13=10),OR(C14=7,C14=8,C14=9,C14=10),OR(C15=7,C15=8,C15=9,C15=10),OR(C16=7,C16=8,C16=9,C16=10),OR(C8=5,C8=6,C8=7,C8=8,C8=9,C8=10),OR(C9=5,C9=6,C9=7,C9=8,C9=9,C9=10),OR(C10=5,C10=6,C10=7,C10=8,C10=9,C10=10),OR(C11=5,C11=6,C11=7,C11=8,C11=9,C11=10)),50,0))))))</f>
        <v/>
      </c>
    </row>
    <row r="41" spans="1:4" ht="18" x14ac:dyDescent="0.35">
      <c r="A41" s="90" t="s">
        <v>193</v>
      </c>
      <c r="B41" s="94">
        <f>SUM(D4:D19,D21:D27,D29,D36:D40)</f>
        <v>0</v>
      </c>
      <c r="C41" s="94"/>
      <c r="D41" s="94"/>
    </row>
  </sheetData>
  <sheetProtection sheet="1" objects="1" scenarios="1"/>
  <protectedRanges>
    <protectedRange sqref="B36:B39" name="D"/>
    <protectedRange sqref="B21:B27" name="B"/>
    <protectedRange sqref="B4:B19" name="A"/>
    <protectedRange sqref="B2" name="Marital"/>
  </protectedRanges>
  <mergeCells count="4">
    <mergeCell ref="B41:D41"/>
    <mergeCell ref="A1:C1"/>
    <mergeCell ref="D29:D34"/>
    <mergeCell ref="D18:D19"/>
  </mergeCells>
  <dataValidations count="23">
    <dataValidation type="list" allowBlank="1" showInputMessage="1" showErrorMessage="1" sqref="B2" xr:uid="{C62B3E88-6B5E-494F-BD92-7D72DD4AE1CC}">
      <formula1>"Single (or apply without spouse or common-law partner),Married (or apply with spouse or common-law partner)"</formula1>
    </dataValidation>
    <dataValidation type="list" allowBlank="1" showInputMessage="1" showErrorMessage="1" sqref="B5" xr:uid="{35A806FF-BA8A-4420-98D1-D399B49CCE74}">
      <formula1>"Less than high school,high school graduation,One-year program,Two-year program,Bachelor's degree,Two or more certificates (one must be for a three-year program),Master's degree,PhD"</formula1>
    </dataValidation>
    <dataValidation type="list" allowBlank="1" showInputMessage="1" showErrorMessage="1" sqref="B7" xr:uid="{D3B579D6-DE60-4251-AE09-DC523379DE9F}">
      <formula1>"IELTS,CELPIP,TEF Canada,TCF Canada"</formula1>
    </dataValidation>
    <dataValidation type="list" allowBlank="1" showInputMessage="1" showErrorMessage="1" sqref="B8" xr:uid="{A9069876-9125-49E2-BBF7-28DE414B4924}">
      <formula1>IF(OR($B$7="IELTS",$B$7="CELPIP"),INDIRECT($B$7),IF($B$7="TEF Canada",TEF_S,TCF_S))</formula1>
    </dataValidation>
    <dataValidation type="list" allowBlank="1" showInputMessage="1" showErrorMessage="1" sqref="B10" xr:uid="{A57890FC-C055-47E1-9CCD-3671CA31D34B}">
      <formula1>IF(OR($B$7="IELTS",$B$7="CELPIP"),INDIRECT($B$7),IF($B$7="TEF Canada",TEF_R,TCF_R))</formula1>
    </dataValidation>
    <dataValidation type="list" allowBlank="1" showInputMessage="1" showErrorMessage="1" sqref="B9" xr:uid="{4A01B5D8-30EC-4D4F-ABDC-3D2929B7787A}">
      <formula1>IF(OR($B$7="IELTS",$B$7="CELPIP"),INDIRECT($B$7),IF($B$7="TEF Canada",TEF_L,TCF_L))</formula1>
    </dataValidation>
    <dataValidation type="list" allowBlank="1" showInputMessage="1" showErrorMessage="1" sqref="B11" xr:uid="{5F1F3212-191C-4490-882A-FBDFF790EE43}">
      <formula1>IF(OR($B$7="IELTS",$B$7="CELPIP"),INDIRECT($B$7),IF($B$7="TEF Canada",TEF_W,TCF_W))</formula1>
    </dataValidation>
    <dataValidation type="list" allowBlank="1" showInputMessage="1" showErrorMessage="1" sqref="B12" xr:uid="{D0C4F391-A5AF-46A0-B954-FA35C807EA90}">
      <formula1>IF($C$7="NCLC",English,IF($C$7="CLB",French))</formula1>
    </dataValidation>
    <dataValidation type="list" allowBlank="1" showInputMessage="1" showErrorMessage="1" sqref="B13" xr:uid="{1DAB3B74-2066-4994-93AB-B8761580CDFC}">
      <formula1>IF(OR($B$12="IELTS",$B$12="CELPIP"),INDIRECT($B$12),IF($B$12="TEF Canada",TEF_S,TCF_S))</formula1>
    </dataValidation>
    <dataValidation type="list" allowBlank="1" showInputMessage="1" showErrorMessage="1" sqref="B14" xr:uid="{E7CCD3A7-DAEF-4B50-B422-6127A9C8B1CF}">
      <formula1>IF(OR($B$12="IELTS",$B$12="CELPIP"),INDIRECT($B$12),IF($B$12="TEF Canada",TEF_L,TCF_L))</formula1>
    </dataValidation>
    <dataValidation type="list" allowBlank="1" showInputMessage="1" showErrorMessage="1" sqref="B15" xr:uid="{A4155726-C958-4F4B-8617-1CA2525237E2}">
      <formula1>IF(OR($B$12="IELTS",$B$12="CELPIP"),INDIRECT($B$12),IF($B$12="TEF Canada",TEF_R,TCF_R))</formula1>
    </dataValidation>
    <dataValidation type="list" allowBlank="1" showInputMessage="1" showErrorMessage="1" sqref="B16" xr:uid="{E77DE852-AEF9-40D7-B8EF-BBDDD879C2E0}">
      <formula1>IF(OR($B$12="IELTS",$B$12="CELPIP"),INDIRECT($B$12),IF($B$12="TEF Canada",TEF_W,TCF_W))</formula1>
    </dataValidation>
    <dataValidation type="list" allowBlank="1" showInputMessage="1" showErrorMessage="1" sqref="B18 B27" xr:uid="{85A2ECC2-99DB-42BD-B7EE-DB8B9B2DB7F5}">
      <formula1>"0,1,2,3,4,&gt;=5"</formula1>
    </dataValidation>
    <dataValidation type="list" allowBlank="1" showInputMessage="1" showErrorMessage="1" sqref="B19" xr:uid="{04328B21-AA7C-4FC1-B22B-E6B228C4F1C4}">
      <formula1>"0,1,2,&gt;=3"</formula1>
    </dataValidation>
    <dataValidation type="list" allowBlank="1" showInputMessage="1" showErrorMessage="1" sqref="B36 B39" xr:uid="{899997DC-9FCD-49F0-A475-D81D8E309B4D}">
      <formula1>"Yes,No"</formula1>
    </dataValidation>
    <dataValidation type="list" allowBlank="1" showInputMessage="1" showErrorMessage="1" sqref="B37" xr:uid="{6AB35182-C4D1-48DF-B95E-628ED993130A}">
      <formula1>"NOC 00,any other NOC 0 or A or B,not applicable"</formula1>
    </dataValidation>
    <dataValidation type="list" allowBlank="1" showInputMessage="1" showErrorMessage="1" sqref="B38" xr:uid="{788F1085-3D06-49B0-9734-51CCCA6415BF}">
      <formula1>"Three-year Canadian degree/diploma or Canadian Master's/PhD,One-year/two-year Canadian degree/diploma/certificate,not applicable"</formula1>
    </dataValidation>
    <dataValidation type="list" allowBlank="1" showInputMessage="1" showErrorMessage="1" sqref="B21" xr:uid="{885D7E7B-EFCB-4D24-8D02-A0384BB1048A}">
      <formula1>IF($B$2="Single (or apply without spouse or common-law partner)",NA,Education_Single)</formula1>
    </dataValidation>
    <dataValidation type="list" allowBlank="1" showInputMessage="1" showErrorMessage="1" sqref="B22" xr:uid="{ECF485E9-6600-4451-9427-55F4D68E6F12}">
      <formula1>IF($B$2="Single (or apply without spouse or common-law partner)",NA,language)</formula1>
    </dataValidation>
    <dataValidation type="list" allowBlank="1" showInputMessage="1" showErrorMessage="1" sqref="B23" xr:uid="{E48A9AF2-EE98-47F2-B68A-311220B30F45}">
      <formula1>IF(OR($B$22="IELTS",$B$22="CELPIP"),INDIRECT($B$22),IF($B$22="TEF Canada",TEF_S,TCF_S))</formula1>
    </dataValidation>
    <dataValidation type="list" allowBlank="1" showInputMessage="1" showErrorMessage="1" sqref="B24" xr:uid="{EAE3ABE0-75CE-456A-961E-A1DA0FC34364}">
      <formula1>IF(OR($B$22="IELTS",$B$22="CELPIP"),INDIRECT($B$22),IF($B$22="TEF Canada",TEF_L,TCF_L))</formula1>
    </dataValidation>
    <dataValidation type="list" allowBlank="1" showInputMessage="1" showErrorMessage="1" sqref="B25" xr:uid="{4418F664-644C-48DF-9D58-E9C3679E3A15}">
      <formula1>IF(OR($B$22="IELTS",$B$22="CELPIP"),INDIRECT($B$22),IF($B$22="TEF Canada",TEF_R,TCF_R))</formula1>
    </dataValidation>
    <dataValidation type="list" allowBlank="1" showInputMessage="1" showErrorMessage="1" sqref="B26" xr:uid="{93062E5A-5E8D-4F9A-8AC4-9648FE4BC091}">
      <formula1>IF(OR($B$22="IELTS",$B$22="CELPIP"),INDIRECT($B$22),IF($B$22="TEF Canada",TEF_W,TCF_W))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0AE73D-F8A7-4913-816D-AA1CA354A5A9}">
          <x14:formula1>
            <xm:f>'Age Matrix'!$B$7:$B$35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7398D-C1BD-412F-B641-8A7B7331EC18}">
  <sheetPr codeName="Sheet2"/>
  <dimension ref="A1:K102"/>
  <sheetViews>
    <sheetView topLeftCell="A4" workbookViewId="0">
      <selection activeCell="J32" sqref="J32"/>
    </sheetView>
  </sheetViews>
  <sheetFormatPr defaultRowHeight="14.4" x14ac:dyDescent="0.3"/>
  <cols>
    <col min="2" max="2" width="21.77734375" customWidth="1"/>
    <col min="3" max="3" width="10.6640625" customWidth="1"/>
    <col min="11" max="11" width="62" bestFit="1" customWidth="1"/>
  </cols>
  <sheetData>
    <row r="1" spans="1:11" x14ac:dyDescent="0.3">
      <c r="A1" t="s">
        <v>175</v>
      </c>
    </row>
    <row r="5" spans="1:11" x14ac:dyDescent="0.3">
      <c r="B5" s="97" t="s">
        <v>126</v>
      </c>
      <c r="C5" s="97"/>
      <c r="D5" s="97"/>
      <c r="E5" s="97"/>
      <c r="F5" s="97"/>
      <c r="G5" s="97"/>
    </row>
    <row r="6" spans="1:11" ht="15" thickBot="1" x14ac:dyDescent="0.35">
      <c r="B6" t="s">
        <v>3</v>
      </c>
      <c r="C6" t="s">
        <v>121</v>
      </c>
      <c r="D6" t="s">
        <v>122</v>
      </c>
      <c r="E6" t="s">
        <v>123</v>
      </c>
      <c r="F6" t="s">
        <v>124</v>
      </c>
      <c r="G6" t="s">
        <v>15</v>
      </c>
    </row>
    <row r="7" spans="1:11" x14ac:dyDescent="0.3">
      <c r="B7" s="39" t="s">
        <v>125</v>
      </c>
      <c r="C7" s="40" t="s">
        <v>127</v>
      </c>
      <c r="D7" s="40" t="s">
        <v>127</v>
      </c>
      <c r="E7" s="40" t="s">
        <v>127</v>
      </c>
      <c r="F7" s="40" t="s">
        <v>127</v>
      </c>
      <c r="G7" s="41">
        <v>13</v>
      </c>
    </row>
    <row r="8" spans="1:11" x14ac:dyDescent="0.3">
      <c r="B8" s="42" t="s">
        <v>125</v>
      </c>
      <c r="C8" s="43" t="s">
        <v>128</v>
      </c>
      <c r="D8" s="43" t="s">
        <v>128</v>
      </c>
      <c r="E8" s="43" t="s">
        <v>128</v>
      </c>
      <c r="F8" s="43" t="s">
        <v>128</v>
      </c>
      <c r="G8" s="44">
        <v>13</v>
      </c>
    </row>
    <row r="9" spans="1:11" x14ac:dyDescent="0.3">
      <c r="B9" s="42" t="s">
        <v>125</v>
      </c>
      <c r="C9" s="43" t="s">
        <v>129</v>
      </c>
      <c r="D9" s="43" t="s">
        <v>129</v>
      </c>
      <c r="E9" s="43" t="s">
        <v>129</v>
      </c>
      <c r="F9" s="43" t="s">
        <v>129</v>
      </c>
      <c r="G9" s="44">
        <v>25</v>
      </c>
    </row>
    <row r="10" spans="1:11" ht="15" thickBot="1" x14ac:dyDescent="0.35">
      <c r="B10" s="45" t="s">
        <v>125</v>
      </c>
      <c r="C10" s="46" t="s">
        <v>176</v>
      </c>
      <c r="D10" s="46" t="s">
        <v>176</v>
      </c>
      <c r="E10" s="46" t="s">
        <v>176</v>
      </c>
      <c r="F10" s="46" t="s">
        <v>176</v>
      </c>
      <c r="G10" s="47">
        <v>25</v>
      </c>
    </row>
    <row r="11" spans="1:11" ht="15.6" x14ac:dyDescent="0.3">
      <c r="B11" s="39" t="s">
        <v>130</v>
      </c>
      <c r="C11" s="40" t="s">
        <v>127</v>
      </c>
      <c r="D11" s="40" t="s">
        <v>127</v>
      </c>
      <c r="E11" s="40" t="s">
        <v>127</v>
      </c>
      <c r="F11" s="40" t="s">
        <v>127</v>
      </c>
      <c r="G11" s="41">
        <v>13</v>
      </c>
      <c r="K11" s="1"/>
    </row>
    <row r="12" spans="1:11" ht="15.6" x14ac:dyDescent="0.3">
      <c r="B12" s="42" t="s">
        <v>130</v>
      </c>
      <c r="C12" s="43" t="s">
        <v>128</v>
      </c>
      <c r="D12" s="43" t="s">
        <v>128</v>
      </c>
      <c r="E12" s="43" t="s">
        <v>128</v>
      </c>
      <c r="F12" s="43" t="s">
        <v>128</v>
      </c>
      <c r="G12" s="44">
        <v>13</v>
      </c>
      <c r="K12" s="1"/>
    </row>
    <row r="13" spans="1:11" ht="15.6" x14ac:dyDescent="0.3">
      <c r="B13" s="42" t="s">
        <v>130</v>
      </c>
      <c r="C13" s="43" t="s">
        <v>129</v>
      </c>
      <c r="D13" s="43" t="s">
        <v>129</v>
      </c>
      <c r="E13" s="43" t="s">
        <v>129</v>
      </c>
      <c r="F13" s="43" t="s">
        <v>129</v>
      </c>
      <c r="G13" s="44">
        <v>25</v>
      </c>
      <c r="K13" s="1"/>
    </row>
    <row r="14" spans="1:11" ht="16.2" thickBot="1" x14ac:dyDescent="0.35">
      <c r="B14" s="45" t="s">
        <v>130</v>
      </c>
      <c r="C14" s="46" t="s">
        <v>176</v>
      </c>
      <c r="D14" s="46" t="s">
        <v>176</v>
      </c>
      <c r="E14" s="46" t="s">
        <v>176</v>
      </c>
      <c r="F14" s="46" t="s">
        <v>176</v>
      </c>
      <c r="G14" s="47">
        <v>25</v>
      </c>
      <c r="K14" s="1"/>
    </row>
    <row r="15" spans="1:11" ht="15.6" x14ac:dyDescent="0.3">
      <c r="B15" s="48" t="s">
        <v>26</v>
      </c>
      <c r="C15" s="40" t="s">
        <v>127</v>
      </c>
      <c r="D15" s="40" t="s">
        <v>127</v>
      </c>
      <c r="E15" s="40" t="s">
        <v>127</v>
      </c>
      <c r="F15" s="40" t="s">
        <v>127</v>
      </c>
      <c r="G15" s="41">
        <v>13</v>
      </c>
    </row>
    <row r="16" spans="1:11" ht="15.6" x14ac:dyDescent="0.3">
      <c r="B16" s="49" t="s">
        <v>26</v>
      </c>
      <c r="C16" s="43" t="s">
        <v>128</v>
      </c>
      <c r="D16" s="43" t="s">
        <v>128</v>
      </c>
      <c r="E16" s="43" t="s">
        <v>128</v>
      </c>
      <c r="F16" s="43" t="s">
        <v>128</v>
      </c>
      <c r="G16" s="44">
        <v>13</v>
      </c>
    </row>
    <row r="17" spans="2:11" ht="15.6" x14ac:dyDescent="0.3">
      <c r="B17" s="49" t="s">
        <v>26</v>
      </c>
      <c r="C17" s="43" t="s">
        <v>129</v>
      </c>
      <c r="D17" s="43" t="s">
        <v>129</v>
      </c>
      <c r="E17" s="43" t="s">
        <v>129</v>
      </c>
      <c r="F17" s="43" t="s">
        <v>129</v>
      </c>
      <c r="G17" s="44">
        <v>25</v>
      </c>
    </row>
    <row r="18" spans="2:11" ht="16.2" thickBot="1" x14ac:dyDescent="0.35">
      <c r="B18" s="50" t="s">
        <v>26</v>
      </c>
      <c r="C18" s="46" t="s">
        <v>176</v>
      </c>
      <c r="D18" s="46" t="s">
        <v>176</v>
      </c>
      <c r="E18" s="46" t="s">
        <v>176</v>
      </c>
      <c r="F18" s="46" t="s">
        <v>176</v>
      </c>
      <c r="G18" s="47">
        <v>25</v>
      </c>
    </row>
    <row r="19" spans="2:11" ht="15.6" x14ac:dyDescent="0.3">
      <c r="B19" s="51" t="s">
        <v>27</v>
      </c>
      <c r="C19" s="40" t="s">
        <v>127</v>
      </c>
      <c r="D19" s="40" t="s">
        <v>127</v>
      </c>
      <c r="E19" s="40" t="s">
        <v>127</v>
      </c>
      <c r="F19" s="40" t="s">
        <v>127</v>
      </c>
      <c r="G19" s="41">
        <v>25</v>
      </c>
      <c r="K19" s="1"/>
    </row>
    <row r="20" spans="2:11" ht="15.6" x14ac:dyDescent="0.3">
      <c r="B20" s="42" t="s">
        <v>27</v>
      </c>
      <c r="C20" s="43" t="s">
        <v>128</v>
      </c>
      <c r="D20" s="43" t="s">
        <v>128</v>
      </c>
      <c r="E20" s="43" t="s">
        <v>128</v>
      </c>
      <c r="F20" s="43" t="s">
        <v>128</v>
      </c>
      <c r="G20" s="44">
        <v>25</v>
      </c>
      <c r="K20" s="1"/>
    </row>
    <row r="21" spans="2:11" x14ac:dyDescent="0.3">
      <c r="B21" s="52" t="s">
        <v>27</v>
      </c>
      <c r="C21" s="53" t="s">
        <v>129</v>
      </c>
      <c r="D21" s="53" t="s">
        <v>129</v>
      </c>
      <c r="E21" s="53" t="s">
        <v>129</v>
      </c>
      <c r="F21" s="53" t="s">
        <v>129</v>
      </c>
      <c r="G21" s="44">
        <v>50</v>
      </c>
    </row>
    <row r="22" spans="2:11" ht="15" thickBot="1" x14ac:dyDescent="0.35">
      <c r="B22" s="54" t="s">
        <v>27</v>
      </c>
      <c r="C22" s="46" t="s">
        <v>176</v>
      </c>
      <c r="D22" s="46" t="s">
        <v>176</v>
      </c>
      <c r="E22" s="46" t="s">
        <v>176</v>
      </c>
      <c r="F22" s="46" t="s">
        <v>176</v>
      </c>
      <c r="G22" s="47">
        <v>50</v>
      </c>
    </row>
    <row r="23" spans="2:11" ht="15.6" x14ac:dyDescent="0.3">
      <c r="B23" s="55" t="s">
        <v>28</v>
      </c>
      <c r="C23" s="40" t="s">
        <v>127</v>
      </c>
      <c r="D23" s="40" t="s">
        <v>127</v>
      </c>
      <c r="E23" s="40" t="s">
        <v>127</v>
      </c>
      <c r="F23" s="40" t="s">
        <v>127</v>
      </c>
      <c r="G23" s="41">
        <v>25</v>
      </c>
    </row>
    <row r="24" spans="2:11" ht="15.6" x14ac:dyDescent="0.3">
      <c r="B24" s="49" t="s">
        <v>28</v>
      </c>
      <c r="C24" s="43" t="s">
        <v>128</v>
      </c>
      <c r="D24" s="43" t="s">
        <v>128</v>
      </c>
      <c r="E24" s="43" t="s">
        <v>128</v>
      </c>
      <c r="F24" s="43" t="s">
        <v>128</v>
      </c>
      <c r="G24" s="44">
        <v>25</v>
      </c>
    </row>
    <row r="25" spans="2:11" ht="15.6" x14ac:dyDescent="0.3">
      <c r="B25" s="49" t="s">
        <v>28</v>
      </c>
      <c r="C25" s="53" t="s">
        <v>129</v>
      </c>
      <c r="D25" s="53" t="s">
        <v>129</v>
      </c>
      <c r="E25" s="53" t="s">
        <v>129</v>
      </c>
      <c r="F25" s="53" t="s">
        <v>129</v>
      </c>
      <c r="G25" s="44">
        <v>50</v>
      </c>
    </row>
    <row r="26" spans="2:11" ht="16.2" thickBot="1" x14ac:dyDescent="0.35">
      <c r="B26" s="50" t="s">
        <v>28</v>
      </c>
      <c r="C26" s="46" t="s">
        <v>176</v>
      </c>
      <c r="D26" s="46" t="s">
        <v>176</v>
      </c>
      <c r="E26" s="46" t="s">
        <v>176</v>
      </c>
      <c r="F26" s="46" t="s">
        <v>176</v>
      </c>
      <c r="G26" s="47">
        <v>50</v>
      </c>
    </row>
    <row r="27" spans="2:11" ht="15.6" x14ac:dyDescent="0.3">
      <c r="B27" s="55" t="s">
        <v>29</v>
      </c>
      <c r="C27" s="40" t="s">
        <v>127</v>
      </c>
      <c r="D27" s="40" t="s">
        <v>127</v>
      </c>
      <c r="E27" s="40" t="s">
        <v>127</v>
      </c>
      <c r="F27" s="40" t="s">
        <v>127</v>
      </c>
      <c r="G27" s="41">
        <v>25</v>
      </c>
    </row>
    <row r="28" spans="2:11" ht="15.6" x14ac:dyDescent="0.3">
      <c r="B28" s="49" t="s">
        <v>29</v>
      </c>
      <c r="C28" s="43" t="s">
        <v>128</v>
      </c>
      <c r="D28" s="43" t="s">
        <v>128</v>
      </c>
      <c r="E28" s="43" t="s">
        <v>128</v>
      </c>
      <c r="F28" s="43" t="s">
        <v>128</v>
      </c>
      <c r="G28" s="44">
        <v>25</v>
      </c>
    </row>
    <row r="29" spans="2:11" ht="15.6" x14ac:dyDescent="0.3">
      <c r="B29" s="49" t="s">
        <v>29</v>
      </c>
      <c r="C29" s="53" t="s">
        <v>129</v>
      </c>
      <c r="D29" s="53" t="s">
        <v>129</v>
      </c>
      <c r="E29" s="53" t="s">
        <v>129</v>
      </c>
      <c r="F29" s="53" t="s">
        <v>129</v>
      </c>
      <c r="G29" s="44">
        <v>50</v>
      </c>
    </row>
    <row r="30" spans="2:11" ht="16.2" thickBot="1" x14ac:dyDescent="0.35">
      <c r="B30" s="50" t="s">
        <v>29</v>
      </c>
      <c r="C30" s="46" t="s">
        <v>176</v>
      </c>
      <c r="D30" s="46" t="s">
        <v>176</v>
      </c>
      <c r="E30" s="46" t="s">
        <v>176</v>
      </c>
      <c r="F30" s="46" t="s">
        <v>176</v>
      </c>
      <c r="G30" s="47">
        <v>50</v>
      </c>
    </row>
    <row r="33" spans="2:7" x14ac:dyDescent="0.3">
      <c r="B33" s="97" t="s">
        <v>177</v>
      </c>
      <c r="C33" s="97"/>
      <c r="D33" s="97"/>
      <c r="E33" s="97"/>
      <c r="F33" s="97"/>
      <c r="G33" s="97"/>
    </row>
    <row r="34" spans="2:7" ht="15" thickBot="1" x14ac:dyDescent="0.35">
      <c r="B34" t="s">
        <v>113</v>
      </c>
      <c r="C34" t="s">
        <v>121</v>
      </c>
      <c r="D34" t="s">
        <v>122</v>
      </c>
      <c r="E34" t="s">
        <v>123</v>
      </c>
      <c r="F34" t="s">
        <v>124</v>
      </c>
      <c r="G34" t="s">
        <v>15</v>
      </c>
    </row>
    <row r="35" spans="2:7" x14ac:dyDescent="0.3">
      <c r="B35" s="56">
        <v>1</v>
      </c>
      <c r="C35" s="40" t="s">
        <v>127</v>
      </c>
      <c r="D35" s="40" t="s">
        <v>127</v>
      </c>
      <c r="E35" s="40" t="s">
        <v>127</v>
      </c>
      <c r="F35" s="40" t="s">
        <v>127</v>
      </c>
      <c r="G35" s="41">
        <v>13</v>
      </c>
    </row>
    <row r="36" spans="2:7" x14ac:dyDescent="0.3">
      <c r="B36" s="57">
        <v>1</v>
      </c>
      <c r="C36" s="43" t="s">
        <v>128</v>
      </c>
      <c r="D36" s="43" t="s">
        <v>128</v>
      </c>
      <c r="E36" s="43" t="s">
        <v>128</v>
      </c>
      <c r="F36" s="43" t="s">
        <v>128</v>
      </c>
      <c r="G36" s="44">
        <v>13</v>
      </c>
    </row>
    <row r="37" spans="2:7" x14ac:dyDescent="0.3">
      <c r="B37" s="57">
        <v>1</v>
      </c>
      <c r="C37" s="43" t="s">
        <v>129</v>
      </c>
      <c r="D37" s="43" t="s">
        <v>129</v>
      </c>
      <c r="E37" s="43" t="s">
        <v>129</v>
      </c>
      <c r="F37" s="43" t="s">
        <v>129</v>
      </c>
      <c r="G37" s="44">
        <v>25</v>
      </c>
    </row>
    <row r="38" spans="2:7" ht="15" thickBot="1" x14ac:dyDescent="0.35">
      <c r="B38" s="58">
        <v>1</v>
      </c>
      <c r="C38" s="46" t="s">
        <v>176</v>
      </c>
      <c r="D38" s="46" t="s">
        <v>176</v>
      </c>
      <c r="E38" s="46" t="s">
        <v>176</v>
      </c>
      <c r="F38" s="46" t="s">
        <v>176</v>
      </c>
      <c r="G38" s="47">
        <v>25</v>
      </c>
    </row>
    <row r="39" spans="2:7" x14ac:dyDescent="0.3">
      <c r="B39" s="56">
        <v>2</v>
      </c>
      <c r="C39" s="40" t="s">
        <v>127</v>
      </c>
      <c r="D39" s="40" t="s">
        <v>127</v>
      </c>
      <c r="E39" s="40" t="s">
        <v>127</v>
      </c>
      <c r="F39" s="40" t="s">
        <v>127</v>
      </c>
      <c r="G39" s="41">
        <v>13</v>
      </c>
    </row>
    <row r="40" spans="2:7" x14ac:dyDescent="0.3">
      <c r="B40" s="57">
        <v>2</v>
      </c>
      <c r="C40" s="43" t="s">
        <v>128</v>
      </c>
      <c r="D40" s="43" t="s">
        <v>128</v>
      </c>
      <c r="E40" s="43" t="s">
        <v>128</v>
      </c>
      <c r="F40" s="43" t="s">
        <v>128</v>
      </c>
      <c r="G40" s="44">
        <v>13</v>
      </c>
    </row>
    <row r="41" spans="2:7" x14ac:dyDescent="0.3">
      <c r="B41" s="57">
        <v>2</v>
      </c>
      <c r="C41" s="43" t="s">
        <v>129</v>
      </c>
      <c r="D41" s="43" t="s">
        <v>129</v>
      </c>
      <c r="E41" s="43" t="s">
        <v>129</v>
      </c>
      <c r="F41" s="43" t="s">
        <v>129</v>
      </c>
      <c r="G41" s="44">
        <v>25</v>
      </c>
    </row>
    <row r="42" spans="2:7" ht="15" thickBot="1" x14ac:dyDescent="0.35">
      <c r="B42" s="58">
        <v>2</v>
      </c>
      <c r="C42" s="46" t="s">
        <v>176</v>
      </c>
      <c r="D42" s="46" t="s">
        <v>176</v>
      </c>
      <c r="E42" s="46" t="s">
        <v>176</v>
      </c>
      <c r="F42" s="46" t="s">
        <v>176</v>
      </c>
      <c r="G42" s="47">
        <v>25</v>
      </c>
    </row>
    <row r="43" spans="2:7" ht="15.6" x14ac:dyDescent="0.3">
      <c r="B43" s="59" t="s">
        <v>87</v>
      </c>
      <c r="C43" s="40" t="s">
        <v>127</v>
      </c>
      <c r="D43" s="40" t="s">
        <v>127</v>
      </c>
      <c r="E43" s="40" t="s">
        <v>127</v>
      </c>
      <c r="F43" s="40" t="s">
        <v>127</v>
      </c>
      <c r="G43" s="41">
        <v>25</v>
      </c>
    </row>
    <row r="44" spans="2:7" ht="15.6" x14ac:dyDescent="0.3">
      <c r="B44" s="60" t="s">
        <v>87</v>
      </c>
      <c r="C44" s="43" t="s">
        <v>128</v>
      </c>
      <c r="D44" s="43" t="s">
        <v>128</v>
      </c>
      <c r="E44" s="43" t="s">
        <v>128</v>
      </c>
      <c r="F44" s="43" t="s">
        <v>128</v>
      </c>
      <c r="G44" s="44">
        <v>25</v>
      </c>
    </row>
    <row r="45" spans="2:7" ht="15.6" x14ac:dyDescent="0.3">
      <c r="B45" s="60" t="s">
        <v>87</v>
      </c>
      <c r="C45" s="43" t="s">
        <v>129</v>
      </c>
      <c r="D45" s="43" t="s">
        <v>129</v>
      </c>
      <c r="E45" s="43" t="s">
        <v>129</v>
      </c>
      <c r="F45" s="43" t="s">
        <v>129</v>
      </c>
      <c r="G45" s="44">
        <v>50</v>
      </c>
    </row>
    <row r="46" spans="2:7" ht="16.2" thickBot="1" x14ac:dyDescent="0.35">
      <c r="B46" s="61" t="s">
        <v>87</v>
      </c>
      <c r="C46" s="46" t="s">
        <v>176</v>
      </c>
      <c r="D46" s="46" t="s">
        <v>176</v>
      </c>
      <c r="E46" s="46" t="s">
        <v>176</v>
      </c>
      <c r="F46" s="46" t="s">
        <v>176</v>
      </c>
      <c r="G46" s="47">
        <v>50</v>
      </c>
    </row>
    <row r="47" spans="2:7" x14ac:dyDescent="0.3">
      <c r="B47" s="13"/>
      <c r="C47" s="13"/>
      <c r="D47" s="13"/>
      <c r="E47" s="13"/>
      <c r="F47" s="13"/>
    </row>
    <row r="48" spans="2:7" x14ac:dyDescent="0.3">
      <c r="B48" s="13"/>
      <c r="C48" s="13"/>
      <c r="D48" s="13"/>
      <c r="E48" s="13"/>
      <c r="F48" s="13"/>
    </row>
    <row r="49" spans="2:6" x14ac:dyDescent="0.3">
      <c r="B49" s="13"/>
    </row>
    <row r="50" spans="2:6" x14ac:dyDescent="0.3">
      <c r="B50" s="13"/>
      <c r="C50" s="13"/>
      <c r="D50" s="13"/>
      <c r="E50" s="13"/>
      <c r="F50" s="13"/>
    </row>
    <row r="51" spans="2:6" ht="15.6" x14ac:dyDescent="0.3">
      <c r="B51" s="98" t="s">
        <v>178</v>
      </c>
      <c r="C51" s="98"/>
      <c r="D51" s="98"/>
      <c r="E51" s="13"/>
      <c r="F51" s="13"/>
    </row>
    <row r="52" spans="2:6" ht="43.8" thickBot="1" x14ac:dyDescent="0.35">
      <c r="B52" s="10" t="s">
        <v>3</v>
      </c>
      <c r="C52" s="37" t="s">
        <v>116</v>
      </c>
      <c r="D52" s="38" t="s">
        <v>15</v>
      </c>
      <c r="E52" s="13"/>
      <c r="F52" s="13"/>
    </row>
    <row r="53" spans="2:6" x14ac:dyDescent="0.3">
      <c r="B53" s="62" t="s">
        <v>125</v>
      </c>
      <c r="C53" s="63">
        <v>1</v>
      </c>
      <c r="D53" s="41">
        <v>13</v>
      </c>
    </row>
    <row r="54" spans="2:6" x14ac:dyDescent="0.3">
      <c r="B54" s="42" t="s">
        <v>125</v>
      </c>
      <c r="C54" s="43">
        <v>2</v>
      </c>
      <c r="D54" s="64">
        <v>25</v>
      </c>
      <c r="E54" s="13"/>
      <c r="F54" s="13"/>
    </row>
    <row r="55" spans="2:6" x14ac:dyDescent="0.3">
      <c r="B55" s="42" t="s">
        <v>125</v>
      </c>
      <c r="C55" s="43">
        <v>3</v>
      </c>
      <c r="D55" s="64">
        <v>25</v>
      </c>
      <c r="E55" s="13"/>
      <c r="F55" s="13"/>
    </row>
    <row r="56" spans="2:6" x14ac:dyDescent="0.3">
      <c r="B56" s="42" t="s">
        <v>125</v>
      </c>
      <c r="C56" s="43">
        <v>4</v>
      </c>
      <c r="D56" s="64">
        <v>25</v>
      </c>
      <c r="E56" s="13"/>
      <c r="F56" s="13"/>
    </row>
    <row r="57" spans="2:6" ht="15" thickBot="1" x14ac:dyDescent="0.35">
      <c r="B57" s="45" t="s">
        <v>125</v>
      </c>
      <c r="C57" s="65" t="s">
        <v>83</v>
      </c>
      <c r="D57" s="66">
        <v>25</v>
      </c>
      <c r="E57" s="13"/>
      <c r="F57" s="13"/>
    </row>
    <row r="58" spans="2:6" x14ac:dyDescent="0.3">
      <c r="B58" s="62" t="s">
        <v>130</v>
      </c>
      <c r="C58" s="63">
        <v>1</v>
      </c>
      <c r="D58" s="41">
        <v>13</v>
      </c>
    </row>
    <row r="59" spans="2:6" x14ac:dyDescent="0.3">
      <c r="B59" s="42" t="s">
        <v>130</v>
      </c>
      <c r="C59" s="43">
        <v>2</v>
      </c>
      <c r="D59" s="64">
        <v>25</v>
      </c>
      <c r="E59" s="13"/>
      <c r="F59" s="13"/>
    </row>
    <row r="60" spans="2:6" x14ac:dyDescent="0.3">
      <c r="B60" s="42" t="s">
        <v>130</v>
      </c>
      <c r="C60" s="43">
        <v>3</v>
      </c>
      <c r="D60" s="64">
        <v>25</v>
      </c>
    </row>
    <row r="61" spans="2:6" x14ac:dyDescent="0.3">
      <c r="B61" s="42" t="s">
        <v>130</v>
      </c>
      <c r="C61" s="43">
        <v>4</v>
      </c>
      <c r="D61" s="64">
        <v>25</v>
      </c>
    </row>
    <row r="62" spans="2:6" ht="15" thickBot="1" x14ac:dyDescent="0.35">
      <c r="B62" s="45" t="s">
        <v>130</v>
      </c>
      <c r="C62" s="65" t="s">
        <v>83</v>
      </c>
      <c r="D62" s="66">
        <v>25</v>
      </c>
    </row>
    <row r="63" spans="2:6" ht="15.6" x14ac:dyDescent="0.3">
      <c r="B63" s="67" t="s">
        <v>26</v>
      </c>
      <c r="C63" s="63">
        <v>1</v>
      </c>
      <c r="D63" s="41">
        <v>13</v>
      </c>
    </row>
    <row r="64" spans="2:6" ht="15.6" x14ac:dyDescent="0.3">
      <c r="B64" s="68" t="s">
        <v>26</v>
      </c>
      <c r="C64" s="43">
        <v>2</v>
      </c>
      <c r="D64" s="44">
        <v>25</v>
      </c>
    </row>
    <row r="65" spans="2:4" ht="15.6" x14ac:dyDescent="0.3">
      <c r="B65" s="68" t="s">
        <v>26</v>
      </c>
      <c r="C65" s="43">
        <v>3</v>
      </c>
      <c r="D65" s="44">
        <v>25</v>
      </c>
    </row>
    <row r="66" spans="2:4" ht="15.6" x14ac:dyDescent="0.3">
      <c r="B66" s="68" t="s">
        <v>26</v>
      </c>
      <c r="C66" s="43">
        <v>4</v>
      </c>
      <c r="D66" s="44">
        <v>25</v>
      </c>
    </row>
    <row r="67" spans="2:4" ht="16.2" thickBot="1" x14ac:dyDescent="0.35">
      <c r="B67" s="69" t="s">
        <v>26</v>
      </c>
      <c r="C67" s="65" t="s">
        <v>83</v>
      </c>
      <c r="D67" s="47">
        <v>25</v>
      </c>
    </row>
    <row r="68" spans="2:4" x14ac:dyDescent="0.3">
      <c r="B68" s="70" t="s">
        <v>27</v>
      </c>
      <c r="C68" s="63">
        <v>1</v>
      </c>
      <c r="D68" s="41">
        <v>25</v>
      </c>
    </row>
    <row r="69" spans="2:4" x14ac:dyDescent="0.3">
      <c r="B69" s="42" t="s">
        <v>27</v>
      </c>
      <c r="C69" s="43">
        <v>2</v>
      </c>
      <c r="D69" s="44">
        <v>50</v>
      </c>
    </row>
    <row r="70" spans="2:4" x14ac:dyDescent="0.3">
      <c r="B70" s="42" t="s">
        <v>27</v>
      </c>
      <c r="C70" s="43">
        <v>3</v>
      </c>
      <c r="D70" s="44">
        <v>50</v>
      </c>
    </row>
    <row r="71" spans="2:4" x14ac:dyDescent="0.3">
      <c r="B71" s="42" t="s">
        <v>27</v>
      </c>
      <c r="C71" s="43">
        <v>4</v>
      </c>
      <c r="D71" s="44">
        <v>50</v>
      </c>
    </row>
    <row r="72" spans="2:4" ht="15" thickBot="1" x14ac:dyDescent="0.35">
      <c r="B72" s="45" t="s">
        <v>27</v>
      </c>
      <c r="C72" s="65" t="s">
        <v>83</v>
      </c>
      <c r="D72" s="47">
        <v>50</v>
      </c>
    </row>
    <row r="73" spans="2:4" ht="15.6" x14ac:dyDescent="0.3">
      <c r="B73" s="67" t="s">
        <v>28</v>
      </c>
      <c r="C73" s="63">
        <v>1</v>
      </c>
      <c r="D73" s="41">
        <v>25</v>
      </c>
    </row>
    <row r="74" spans="2:4" ht="15.6" x14ac:dyDescent="0.3">
      <c r="B74" s="68" t="s">
        <v>28</v>
      </c>
      <c r="C74" s="43">
        <v>2</v>
      </c>
      <c r="D74" s="44">
        <v>50</v>
      </c>
    </row>
    <row r="75" spans="2:4" ht="15.6" x14ac:dyDescent="0.3">
      <c r="B75" s="68" t="s">
        <v>28</v>
      </c>
      <c r="C75" s="43">
        <v>3</v>
      </c>
      <c r="D75" s="44">
        <v>50</v>
      </c>
    </row>
    <row r="76" spans="2:4" ht="15.6" x14ac:dyDescent="0.3">
      <c r="B76" s="68" t="s">
        <v>28</v>
      </c>
      <c r="C76" s="43">
        <v>4</v>
      </c>
      <c r="D76" s="44">
        <v>50</v>
      </c>
    </row>
    <row r="77" spans="2:4" ht="16.2" thickBot="1" x14ac:dyDescent="0.35">
      <c r="B77" s="69" t="s">
        <v>28</v>
      </c>
      <c r="C77" s="65" t="s">
        <v>83</v>
      </c>
      <c r="D77" s="47">
        <v>50</v>
      </c>
    </row>
    <row r="78" spans="2:4" ht="15.6" x14ac:dyDescent="0.3">
      <c r="B78" s="67" t="s">
        <v>29</v>
      </c>
      <c r="C78" s="63">
        <v>1</v>
      </c>
      <c r="D78" s="41">
        <v>25</v>
      </c>
    </row>
    <row r="79" spans="2:4" ht="15.6" x14ac:dyDescent="0.3">
      <c r="B79" s="68" t="s">
        <v>29</v>
      </c>
      <c r="C79" s="43">
        <v>2</v>
      </c>
      <c r="D79" s="44">
        <v>50</v>
      </c>
    </row>
    <row r="80" spans="2:4" ht="15.6" x14ac:dyDescent="0.3">
      <c r="B80" s="68" t="s">
        <v>29</v>
      </c>
      <c r="C80" s="43">
        <v>3</v>
      </c>
      <c r="D80" s="44">
        <v>50</v>
      </c>
    </row>
    <row r="81" spans="2:4" ht="15.6" x14ac:dyDescent="0.3">
      <c r="B81" s="68" t="s">
        <v>29</v>
      </c>
      <c r="C81" s="43">
        <v>4</v>
      </c>
      <c r="D81" s="44">
        <v>50</v>
      </c>
    </row>
    <row r="82" spans="2:4" ht="16.2" thickBot="1" x14ac:dyDescent="0.35">
      <c r="B82" s="69" t="s">
        <v>29</v>
      </c>
      <c r="C82" s="65" t="s">
        <v>83</v>
      </c>
      <c r="D82" s="47">
        <v>50</v>
      </c>
    </row>
    <row r="86" spans="2:4" x14ac:dyDescent="0.3">
      <c r="B86" s="97" t="s">
        <v>179</v>
      </c>
      <c r="C86" s="97"/>
    </row>
    <row r="87" spans="2:4" ht="43.8" thickBot="1" x14ac:dyDescent="0.35">
      <c r="B87" t="s">
        <v>113</v>
      </c>
      <c r="C87" s="37" t="s">
        <v>116</v>
      </c>
      <c r="D87" s="7" t="s">
        <v>15</v>
      </c>
    </row>
    <row r="88" spans="2:4" x14ac:dyDescent="0.3">
      <c r="B88" s="71">
        <v>1</v>
      </c>
      <c r="C88" s="63">
        <v>1</v>
      </c>
      <c r="D88" s="41">
        <v>13</v>
      </c>
    </row>
    <row r="89" spans="2:4" x14ac:dyDescent="0.3">
      <c r="B89" s="57">
        <v>1</v>
      </c>
      <c r="C89" s="43">
        <v>2</v>
      </c>
      <c r="D89" s="44">
        <v>25</v>
      </c>
    </row>
    <row r="90" spans="2:4" x14ac:dyDescent="0.3">
      <c r="B90" s="57">
        <v>1</v>
      </c>
      <c r="C90" s="43">
        <v>3</v>
      </c>
      <c r="D90" s="44">
        <v>25</v>
      </c>
    </row>
    <row r="91" spans="2:4" x14ac:dyDescent="0.3">
      <c r="B91" s="57">
        <v>1</v>
      </c>
      <c r="C91" s="43">
        <v>4</v>
      </c>
      <c r="D91" s="44">
        <v>25</v>
      </c>
    </row>
    <row r="92" spans="2:4" ht="15" thickBot="1" x14ac:dyDescent="0.35">
      <c r="B92" s="58">
        <v>1</v>
      </c>
      <c r="C92" s="65" t="s">
        <v>83</v>
      </c>
      <c r="D92" s="47">
        <v>25</v>
      </c>
    </row>
    <row r="93" spans="2:4" x14ac:dyDescent="0.3">
      <c r="B93" s="71">
        <v>2</v>
      </c>
      <c r="C93" s="63">
        <v>1</v>
      </c>
      <c r="D93" s="41">
        <v>13</v>
      </c>
    </row>
    <row r="94" spans="2:4" x14ac:dyDescent="0.3">
      <c r="B94" s="57">
        <v>2</v>
      </c>
      <c r="C94" s="43">
        <v>2</v>
      </c>
      <c r="D94" s="44">
        <v>25</v>
      </c>
    </row>
    <row r="95" spans="2:4" x14ac:dyDescent="0.3">
      <c r="B95" s="57">
        <v>2</v>
      </c>
      <c r="C95" s="43">
        <v>3</v>
      </c>
      <c r="D95" s="44">
        <v>25</v>
      </c>
    </row>
    <row r="96" spans="2:4" x14ac:dyDescent="0.3">
      <c r="B96" s="57">
        <v>2</v>
      </c>
      <c r="C96" s="43">
        <v>4</v>
      </c>
      <c r="D96" s="44">
        <v>25</v>
      </c>
    </row>
    <row r="97" spans="2:4" ht="15" thickBot="1" x14ac:dyDescent="0.35">
      <c r="B97" s="58">
        <v>2</v>
      </c>
      <c r="C97" s="65" t="s">
        <v>83</v>
      </c>
      <c r="D97" s="47">
        <v>25</v>
      </c>
    </row>
    <row r="98" spans="2:4" ht="15.6" x14ac:dyDescent="0.3">
      <c r="B98" s="72" t="s">
        <v>87</v>
      </c>
      <c r="C98" s="63">
        <v>1</v>
      </c>
      <c r="D98" s="41">
        <v>25</v>
      </c>
    </row>
    <row r="99" spans="2:4" ht="15.6" x14ac:dyDescent="0.3">
      <c r="B99" s="60" t="s">
        <v>87</v>
      </c>
      <c r="C99" s="43">
        <v>2</v>
      </c>
      <c r="D99" s="44">
        <v>50</v>
      </c>
    </row>
    <row r="100" spans="2:4" ht="15.6" x14ac:dyDescent="0.3">
      <c r="B100" s="60" t="s">
        <v>87</v>
      </c>
      <c r="C100" s="43">
        <v>3</v>
      </c>
      <c r="D100" s="44">
        <v>50</v>
      </c>
    </row>
    <row r="101" spans="2:4" ht="15.6" x14ac:dyDescent="0.3">
      <c r="B101" s="60" t="s">
        <v>87</v>
      </c>
      <c r="C101" s="43">
        <v>4</v>
      </c>
      <c r="D101" s="44">
        <v>50</v>
      </c>
    </row>
    <row r="102" spans="2:4" ht="16.2" thickBot="1" x14ac:dyDescent="0.35">
      <c r="B102" s="61" t="s">
        <v>87</v>
      </c>
      <c r="C102" s="65" t="s">
        <v>83</v>
      </c>
      <c r="D102" s="47">
        <v>50</v>
      </c>
    </row>
  </sheetData>
  <mergeCells count="4">
    <mergeCell ref="B5:G5"/>
    <mergeCell ref="B33:G33"/>
    <mergeCell ref="B51:D51"/>
    <mergeCell ref="B86:C86"/>
  </mergeCells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EEC7-8522-43B8-81D6-46F5CD462305}">
  <sheetPr codeName="Sheet3"/>
  <dimension ref="A1:E39"/>
  <sheetViews>
    <sheetView workbookViewId="0">
      <selection activeCell="J32" sqref="J32"/>
    </sheetView>
  </sheetViews>
  <sheetFormatPr defaultRowHeight="14.4" x14ac:dyDescent="0.3"/>
  <cols>
    <col min="3" max="3" width="54.88671875" bestFit="1" customWidth="1"/>
    <col min="4" max="4" width="53.5546875" bestFit="1" customWidth="1"/>
    <col min="5" max="5" width="9" bestFit="1" customWidth="1"/>
  </cols>
  <sheetData>
    <row r="1" spans="1:4" ht="23.4" x14ac:dyDescent="0.45">
      <c r="B1" s="8" t="s">
        <v>12</v>
      </c>
    </row>
    <row r="5" spans="1:4" ht="15.6" x14ac:dyDescent="0.3">
      <c r="A5" s="100" t="s">
        <v>2</v>
      </c>
      <c r="B5" s="11"/>
      <c r="C5" s="99" t="s">
        <v>0</v>
      </c>
      <c r="D5" s="99"/>
    </row>
    <row r="6" spans="1:4" ht="15.6" x14ac:dyDescent="0.3">
      <c r="A6" s="100"/>
      <c r="B6" s="12"/>
      <c r="C6" s="5" t="s">
        <v>91</v>
      </c>
      <c r="D6" s="5" t="s">
        <v>90</v>
      </c>
    </row>
    <row r="7" spans="1:4" ht="15.6" x14ac:dyDescent="0.3">
      <c r="A7" s="100"/>
      <c r="B7" s="6" t="s">
        <v>86</v>
      </c>
      <c r="C7" s="3">
        <v>0</v>
      </c>
      <c r="D7" s="3">
        <v>0</v>
      </c>
    </row>
    <row r="8" spans="1:4" x14ac:dyDescent="0.3">
      <c r="A8" s="100"/>
      <c r="B8" s="6">
        <v>18</v>
      </c>
      <c r="C8" s="7">
        <v>99</v>
      </c>
      <c r="D8" s="7">
        <v>90</v>
      </c>
    </row>
    <row r="9" spans="1:4" x14ac:dyDescent="0.3">
      <c r="A9" s="100"/>
      <c r="B9" s="6">
        <v>19</v>
      </c>
      <c r="C9" s="7">
        <v>105</v>
      </c>
      <c r="D9" s="7">
        <v>95</v>
      </c>
    </row>
    <row r="10" spans="1:4" x14ac:dyDescent="0.3">
      <c r="A10" s="100"/>
      <c r="B10" s="6">
        <v>20</v>
      </c>
      <c r="C10" s="7">
        <v>110</v>
      </c>
      <c r="D10" s="7">
        <v>100</v>
      </c>
    </row>
    <row r="11" spans="1:4" ht="15.6" x14ac:dyDescent="0.3">
      <c r="A11" s="100"/>
      <c r="B11" s="5">
        <v>21</v>
      </c>
      <c r="C11" s="7">
        <v>110</v>
      </c>
      <c r="D11" s="7">
        <v>100</v>
      </c>
    </row>
    <row r="12" spans="1:4" x14ac:dyDescent="0.3">
      <c r="A12" s="100"/>
      <c r="B12" s="6">
        <v>22</v>
      </c>
      <c r="C12" s="7">
        <v>110</v>
      </c>
      <c r="D12" s="7">
        <v>100</v>
      </c>
    </row>
    <row r="13" spans="1:4" x14ac:dyDescent="0.3">
      <c r="A13" s="100"/>
      <c r="B13" s="6">
        <v>23</v>
      </c>
      <c r="C13" s="7">
        <v>110</v>
      </c>
      <c r="D13" s="7">
        <v>100</v>
      </c>
    </row>
    <row r="14" spans="1:4" x14ac:dyDescent="0.3">
      <c r="A14" s="100"/>
      <c r="B14" s="6">
        <v>24</v>
      </c>
      <c r="C14" s="7">
        <v>110</v>
      </c>
      <c r="D14" s="7">
        <v>100</v>
      </c>
    </row>
    <row r="15" spans="1:4" x14ac:dyDescent="0.3">
      <c r="A15" s="100"/>
      <c r="B15" s="6">
        <v>25</v>
      </c>
      <c r="C15" s="7">
        <v>110</v>
      </c>
      <c r="D15" s="7">
        <v>100</v>
      </c>
    </row>
    <row r="16" spans="1:4" ht="15.6" x14ac:dyDescent="0.3">
      <c r="A16" s="100"/>
      <c r="B16" s="5">
        <v>26</v>
      </c>
      <c r="C16" s="7">
        <v>110</v>
      </c>
      <c r="D16" s="7">
        <v>100</v>
      </c>
    </row>
    <row r="17" spans="1:4" x14ac:dyDescent="0.3">
      <c r="A17" s="100"/>
      <c r="B17" s="6">
        <v>27</v>
      </c>
      <c r="C17" s="7">
        <v>110</v>
      </c>
      <c r="D17" s="7">
        <v>100</v>
      </c>
    </row>
    <row r="18" spans="1:4" x14ac:dyDescent="0.3">
      <c r="A18" s="100"/>
      <c r="B18" s="6">
        <v>28</v>
      </c>
      <c r="C18" s="7">
        <v>110</v>
      </c>
      <c r="D18" s="7">
        <v>100</v>
      </c>
    </row>
    <row r="19" spans="1:4" x14ac:dyDescent="0.3">
      <c r="A19" s="100"/>
      <c r="B19" s="6">
        <v>29</v>
      </c>
      <c r="C19" s="7">
        <v>110</v>
      </c>
      <c r="D19" s="7">
        <v>100</v>
      </c>
    </row>
    <row r="20" spans="1:4" x14ac:dyDescent="0.3">
      <c r="A20" s="100"/>
      <c r="B20" s="6">
        <v>30</v>
      </c>
      <c r="C20" s="7">
        <v>105</v>
      </c>
      <c r="D20" s="7">
        <v>95</v>
      </c>
    </row>
    <row r="21" spans="1:4" ht="15.6" x14ac:dyDescent="0.3">
      <c r="A21" s="100"/>
      <c r="B21" s="5">
        <v>31</v>
      </c>
      <c r="C21" s="7">
        <v>99</v>
      </c>
      <c r="D21" s="7">
        <v>90</v>
      </c>
    </row>
    <row r="22" spans="1:4" x14ac:dyDescent="0.3">
      <c r="A22" s="100"/>
      <c r="B22" s="6">
        <v>32</v>
      </c>
      <c r="C22" s="7">
        <v>94</v>
      </c>
      <c r="D22" s="7">
        <v>85</v>
      </c>
    </row>
    <row r="23" spans="1:4" x14ac:dyDescent="0.3">
      <c r="A23" s="100"/>
      <c r="B23" s="6">
        <v>33</v>
      </c>
      <c r="C23" s="7">
        <v>88</v>
      </c>
      <c r="D23" s="7">
        <v>80</v>
      </c>
    </row>
    <row r="24" spans="1:4" x14ac:dyDescent="0.3">
      <c r="A24" s="100"/>
      <c r="B24" s="6">
        <v>34</v>
      </c>
      <c r="C24" s="7">
        <v>83</v>
      </c>
      <c r="D24" s="7">
        <v>75</v>
      </c>
    </row>
    <row r="25" spans="1:4" x14ac:dyDescent="0.3">
      <c r="A25" s="100"/>
      <c r="B25" s="6">
        <v>35</v>
      </c>
      <c r="C25" s="7">
        <v>77</v>
      </c>
      <c r="D25" s="7">
        <v>70</v>
      </c>
    </row>
    <row r="26" spans="1:4" ht="15.6" x14ac:dyDescent="0.3">
      <c r="A26" s="100"/>
      <c r="B26" s="5">
        <v>36</v>
      </c>
      <c r="C26" s="7">
        <v>72</v>
      </c>
      <c r="D26" s="7">
        <v>65</v>
      </c>
    </row>
    <row r="27" spans="1:4" x14ac:dyDescent="0.3">
      <c r="A27" s="100"/>
      <c r="B27" s="6">
        <v>37</v>
      </c>
      <c r="C27" s="7">
        <v>66</v>
      </c>
      <c r="D27" s="7">
        <v>60</v>
      </c>
    </row>
    <row r="28" spans="1:4" x14ac:dyDescent="0.3">
      <c r="A28" s="100"/>
      <c r="B28" s="6">
        <v>38</v>
      </c>
      <c r="C28" s="7">
        <v>61</v>
      </c>
      <c r="D28" s="7">
        <v>55</v>
      </c>
    </row>
    <row r="29" spans="1:4" ht="15.6" customHeight="1" x14ac:dyDescent="0.3">
      <c r="A29" s="100"/>
      <c r="B29" s="6">
        <v>39</v>
      </c>
      <c r="C29" s="7">
        <v>55</v>
      </c>
      <c r="D29" s="7">
        <v>50</v>
      </c>
    </row>
    <row r="30" spans="1:4" x14ac:dyDescent="0.3">
      <c r="A30" s="100"/>
      <c r="B30" s="6">
        <v>40</v>
      </c>
      <c r="C30" s="7">
        <v>50</v>
      </c>
      <c r="D30" s="7">
        <v>45</v>
      </c>
    </row>
    <row r="31" spans="1:4" ht="15.6" x14ac:dyDescent="0.3">
      <c r="A31" s="100"/>
      <c r="B31" s="5">
        <v>41</v>
      </c>
      <c r="C31" s="7">
        <v>39</v>
      </c>
      <c r="D31" s="7">
        <v>35</v>
      </c>
    </row>
    <row r="32" spans="1:4" x14ac:dyDescent="0.3">
      <c r="A32" s="100"/>
      <c r="B32" s="6">
        <v>42</v>
      </c>
      <c r="C32" s="7">
        <v>28</v>
      </c>
      <c r="D32" s="7">
        <v>25</v>
      </c>
    </row>
    <row r="33" spans="1:5" x14ac:dyDescent="0.3">
      <c r="A33" s="100"/>
      <c r="B33" s="6">
        <v>43</v>
      </c>
      <c r="C33" s="7">
        <v>17</v>
      </c>
      <c r="D33" s="7">
        <v>15</v>
      </c>
    </row>
    <row r="34" spans="1:5" x14ac:dyDescent="0.3">
      <c r="A34" s="100"/>
      <c r="B34" s="6">
        <v>44</v>
      </c>
      <c r="C34" s="7">
        <v>6</v>
      </c>
      <c r="D34" s="7">
        <v>5</v>
      </c>
    </row>
    <row r="35" spans="1:5" x14ac:dyDescent="0.3">
      <c r="A35" s="100"/>
      <c r="B35" s="23" t="s">
        <v>84</v>
      </c>
      <c r="C35" s="7">
        <v>0</v>
      </c>
      <c r="D35" s="7">
        <v>0</v>
      </c>
    </row>
    <row r="38" spans="1:5" x14ac:dyDescent="0.3">
      <c r="C38" s="9" t="s">
        <v>2</v>
      </c>
      <c r="D38" s="9" t="s">
        <v>0</v>
      </c>
      <c r="E38" s="9" t="s">
        <v>13</v>
      </c>
    </row>
    <row r="39" spans="1:5" x14ac:dyDescent="0.3">
      <c r="C39" s="7">
        <v>31</v>
      </c>
      <c r="D39" s="7" t="s">
        <v>90</v>
      </c>
      <c r="E39" s="7">
        <f>INDEX($C$7:$D$36,MATCH(C39,B7:B35,0),MATCH(D39,C6:D6,0))</f>
        <v>90</v>
      </c>
    </row>
  </sheetData>
  <mergeCells count="2">
    <mergeCell ref="C5:D5"/>
    <mergeCell ref="A5:A35"/>
  </mergeCells>
  <dataValidations count="2">
    <dataValidation type="list" allowBlank="1" showInputMessage="1" showErrorMessage="1" sqref="C39" xr:uid="{B1A9452A-DB64-4792-91AC-A524B35863FF}">
      <formula1>"17,18,19,20,21,22,23,24,25,26,27,28,29,30,31,32,33,34,35,36,37,38,39,40,41,42,43,44,45"</formula1>
    </dataValidation>
    <dataValidation type="list" allowBlank="1" showInputMessage="1" showErrorMessage="1" sqref="D39" xr:uid="{9D1A7AE8-38C1-41DC-8B39-FDAEF2B3E704}">
      <formula1>"Single (or apply without spouse or common-law partner),Married (or apply with spouse or common-law partner)"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339FB-7210-45F9-9954-E4282E547AC7}">
  <sheetPr codeName="Sheet4"/>
  <dimension ref="A1:C26"/>
  <sheetViews>
    <sheetView workbookViewId="0">
      <selection activeCell="J32" sqref="J32"/>
    </sheetView>
  </sheetViews>
  <sheetFormatPr defaultRowHeight="14.4" x14ac:dyDescent="0.3"/>
  <cols>
    <col min="2" max="2" width="62" bestFit="1" customWidth="1"/>
  </cols>
  <sheetData>
    <row r="1" spans="1:3" x14ac:dyDescent="0.3">
      <c r="A1" t="s">
        <v>14</v>
      </c>
    </row>
    <row r="5" spans="1:3" x14ac:dyDescent="0.3">
      <c r="B5" s="18" t="s">
        <v>92</v>
      </c>
      <c r="C5" s="18" t="s">
        <v>15</v>
      </c>
    </row>
    <row r="6" spans="1:3" ht="15.6" x14ac:dyDescent="0.3">
      <c r="B6" s="1" t="s">
        <v>22</v>
      </c>
      <c r="C6">
        <v>0</v>
      </c>
    </row>
    <row r="7" spans="1:3" ht="15.6" x14ac:dyDescent="0.3">
      <c r="B7" s="1" t="s">
        <v>23</v>
      </c>
      <c r="C7">
        <v>30</v>
      </c>
    </row>
    <row r="8" spans="1:3" ht="15.6" x14ac:dyDescent="0.3">
      <c r="B8" s="1" t="s">
        <v>24</v>
      </c>
      <c r="C8">
        <v>90</v>
      </c>
    </row>
    <row r="9" spans="1:3" ht="15.6" x14ac:dyDescent="0.3">
      <c r="B9" s="1" t="s">
        <v>25</v>
      </c>
      <c r="C9">
        <v>98</v>
      </c>
    </row>
    <row r="10" spans="1:3" ht="15.6" x14ac:dyDescent="0.3">
      <c r="B10" s="1" t="s">
        <v>26</v>
      </c>
      <c r="C10">
        <v>120</v>
      </c>
    </row>
    <row r="11" spans="1:3" ht="15.6" x14ac:dyDescent="0.3">
      <c r="B11" s="1" t="s">
        <v>34</v>
      </c>
      <c r="C11">
        <v>128</v>
      </c>
    </row>
    <row r="12" spans="1:3" ht="15.6" x14ac:dyDescent="0.3">
      <c r="B12" s="1" t="s">
        <v>28</v>
      </c>
      <c r="C12">
        <v>135</v>
      </c>
    </row>
    <row r="13" spans="1:3" ht="15.6" x14ac:dyDescent="0.3">
      <c r="B13" s="1" t="s">
        <v>29</v>
      </c>
      <c r="C13">
        <v>150</v>
      </c>
    </row>
    <row r="18" spans="2:3" x14ac:dyDescent="0.3">
      <c r="B18" s="18" t="s">
        <v>93</v>
      </c>
      <c r="C18" s="18" t="s">
        <v>15</v>
      </c>
    </row>
    <row r="19" spans="2:3" ht="15.6" x14ac:dyDescent="0.3">
      <c r="B19" s="1" t="s">
        <v>22</v>
      </c>
      <c r="C19">
        <v>0</v>
      </c>
    </row>
    <row r="20" spans="2:3" ht="15.6" x14ac:dyDescent="0.3">
      <c r="B20" s="1" t="s">
        <v>23</v>
      </c>
      <c r="C20">
        <v>28</v>
      </c>
    </row>
    <row r="21" spans="2:3" ht="15.6" x14ac:dyDescent="0.3">
      <c r="B21" s="1" t="s">
        <v>24</v>
      </c>
      <c r="C21">
        <v>84</v>
      </c>
    </row>
    <row r="22" spans="2:3" ht="15.6" x14ac:dyDescent="0.3">
      <c r="B22" s="1" t="s">
        <v>25</v>
      </c>
      <c r="C22">
        <v>91</v>
      </c>
    </row>
    <row r="23" spans="2:3" ht="15.6" x14ac:dyDescent="0.3">
      <c r="B23" s="1" t="s">
        <v>26</v>
      </c>
      <c r="C23">
        <v>112</v>
      </c>
    </row>
    <row r="24" spans="2:3" ht="15.6" x14ac:dyDescent="0.3">
      <c r="B24" s="1" t="s">
        <v>34</v>
      </c>
      <c r="C24">
        <v>119</v>
      </c>
    </row>
    <row r="25" spans="2:3" ht="15.6" x14ac:dyDescent="0.3">
      <c r="B25" s="1" t="s">
        <v>28</v>
      </c>
      <c r="C25">
        <v>126</v>
      </c>
    </row>
    <row r="26" spans="2:3" ht="15.6" x14ac:dyDescent="0.3">
      <c r="B26" s="1" t="s">
        <v>29</v>
      </c>
      <c r="C26">
        <v>140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E4579-357A-4B95-8013-5680D950DECB}">
  <sheetPr codeName="Sheet5"/>
  <dimension ref="A1:AJ79"/>
  <sheetViews>
    <sheetView topLeftCell="A5" workbookViewId="0">
      <selection activeCell="J32" sqref="J32"/>
    </sheetView>
  </sheetViews>
  <sheetFormatPr defaultRowHeight="14.4" x14ac:dyDescent="0.3"/>
  <cols>
    <col min="1" max="1" width="14.5546875" bestFit="1" customWidth="1"/>
    <col min="3" max="3" width="10.5546875" customWidth="1"/>
    <col min="7" max="7" width="12.5546875" bestFit="1" customWidth="1"/>
    <col min="12" max="12" width="11.33203125" customWidth="1"/>
    <col min="13" max="13" width="12.5546875" bestFit="1" customWidth="1"/>
    <col min="20" max="20" width="12.5546875" bestFit="1" customWidth="1"/>
  </cols>
  <sheetData>
    <row r="1" spans="1:24" x14ac:dyDescent="0.3">
      <c r="A1" t="s">
        <v>21</v>
      </c>
    </row>
    <row r="3" spans="1:24" x14ac:dyDescent="0.3">
      <c r="A3" s="34" t="s">
        <v>4</v>
      </c>
    </row>
    <row r="4" spans="1:24" x14ac:dyDescent="0.3">
      <c r="A4" t="s">
        <v>30</v>
      </c>
      <c r="B4" s="103" t="s">
        <v>94</v>
      </c>
      <c r="C4" s="103"/>
      <c r="D4" s="103"/>
      <c r="E4" s="103"/>
      <c r="F4" s="103"/>
      <c r="G4" s="103"/>
      <c r="H4" s="103"/>
      <c r="I4" s="103"/>
      <c r="J4" s="103"/>
      <c r="K4" s="103"/>
      <c r="L4" s="103"/>
      <c r="N4" s="103" t="s">
        <v>95</v>
      </c>
      <c r="O4" s="103"/>
      <c r="P4" s="103"/>
      <c r="Q4" s="103"/>
      <c r="R4" s="103"/>
      <c r="S4" s="103"/>
      <c r="T4" s="103"/>
      <c r="U4" s="103"/>
      <c r="V4" s="103"/>
      <c r="W4" s="103"/>
      <c r="X4" s="103"/>
    </row>
    <row r="5" spans="1:24" x14ac:dyDescent="0.3">
      <c r="A5" s="24" t="s">
        <v>35</v>
      </c>
      <c r="B5" s="21" t="s">
        <v>16</v>
      </c>
      <c r="C5" s="24" t="s">
        <v>15</v>
      </c>
      <c r="D5" s="21"/>
      <c r="E5" s="21" t="s">
        <v>19</v>
      </c>
      <c r="F5" s="24" t="s">
        <v>15</v>
      </c>
      <c r="G5" s="21"/>
      <c r="H5" s="21" t="s">
        <v>17</v>
      </c>
      <c r="I5" s="24" t="s">
        <v>15</v>
      </c>
      <c r="J5" s="21"/>
      <c r="K5" s="21" t="s">
        <v>18</v>
      </c>
      <c r="L5" s="24" t="s">
        <v>15</v>
      </c>
      <c r="N5" s="21" t="s">
        <v>16</v>
      </c>
      <c r="O5" s="24" t="s">
        <v>15</v>
      </c>
      <c r="P5" s="21"/>
      <c r="Q5" s="21" t="s">
        <v>19</v>
      </c>
      <c r="R5" s="24" t="s">
        <v>15</v>
      </c>
      <c r="S5" s="21"/>
      <c r="T5" s="21" t="s">
        <v>17</v>
      </c>
      <c r="U5" s="24" t="s">
        <v>15</v>
      </c>
      <c r="V5" s="21"/>
      <c r="W5" s="21" t="s">
        <v>18</v>
      </c>
      <c r="X5" s="24" t="s">
        <v>15</v>
      </c>
    </row>
    <row r="6" spans="1:24" x14ac:dyDescent="0.3">
      <c r="A6" s="33">
        <v>3.5</v>
      </c>
      <c r="B6" s="24" t="s">
        <v>35</v>
      </c>
      <c r="C6" s="21">
        <v>0</v>
      </c>
      <c r="D6" s="21"/>
      <c r="E6" s="24" t="s">
        <v>35</v>
      </c>
      <c r="F6" s="21">
        <v>0</v>
      </c>
      <c r="G6" s="21"/>
      <c r="H6" s="24" t="s">
        <v>35</v>
      </c>
      <c r="I6" s="21">
        <v>0</v>
      </c>
      <c r="J6" s="21"/>
      <c r="K6" s="24" t="s">
        <v>35</v>
      </c>
      <c r="L6" s="21">
        <v>0</v>
      </c>
      <c r="N6" s="24" t="s">
        <v>35</v>
      </c>
      <c r="O6" s="33">
        <v>0</v>
      </c>
      <c r="P6" s="21"/>
      <c r="Q6" s="24" t="s">
        <v>35</v>
      </c>
      <c r="R6" s="21">
        <v>0</v>
      </c>
      <c r="S6" s="21"/>
      <c r="T6" s="24" t="s">
        <v>35</v>
      </c>
      <c r="U6" s="21">
        <v>0</v>
      </c>
      <c r="V6" s="21"/>
      <c r="W6" s="24" t="s">
        <v>35</v>
      </c>
      <c r="X6" s="21">
        <v>0</v>
      </c>
    </row>
    <row r="7" spans="1:24" x14ac:dyDescent="0.3">
      <c r="A7" s="33">
        <v>4</v>
      </c>
      <c r="B7" s="33">
        <v>3.5</v>
      </c>
      <c r="C7" s="21">
        <v>0</v>
      </c>
      <c r="D7" s="21"/>
      <c r="E7" s="33">
        <v>3.5</v>
      </c>
      <c r="F7" s="21">
        <v>0</v>
      </c>
      <c r="G7" s="21"/>
      <c r="H7" s="33">
        <v>3.5</v>
      </c>
      <c r="I7" s="21">
        <v>6</v>
      </c>
      <c r="J7" s="21"/>
      <c r="K7" s="33">
        <v>3.5</v>
      </c>
      <c r="L7" s="21">
        <v>0</v>
      </c>
      <c r="N7" s="33">
        <v>3.5</v>
      </c>
      <c r="O7" s="33">
        <v>0</v>
      </c>
      <c r="P7" s="21"/>
      <c r="Q7" s="33">
        <v>3.5</v>
      </c>
      <c r="R7" s="21">
        <v>0</v>
      </c>
      <c r="S7" s="21"/>
      <c r="T7" s="33">
        <v>3.5</v>
      </c>
      <c r="U7" s="21">
        <v>6</v>
      </c>
      <c r="V7" s="21"/>
      <c r="W7" s="33">
        <v>3.5</v>
      </c>
      <c r="X7" s="21">
        <v>0</v>
      </c>
    </row>
    <row r="8" spans="1:24" x14ac:dyDescent="0.3">
      <c r="A8" s="33">
        <v>4.5</v>
      </c>
      <c r="B8" s="33">
        <v>4</v>
      </c>
      <c r="C8" s="21">
        <v>6</v>
      </c>
      <c r="D8" s="21"/>
      <c r="E8" s="33">
        <v>4</v>
      </c>
      <c r="F8" s="21">
        <v>0</v>
      </c>
      <c r="G8" s="21"/>
      <c r="H8" s="33">
        <v>4</v>
      </c>
      <c r="I8" s="21">
        <v>6</v>
      </c>
      <c r="J8" s="21"/>
      <c r="K8" s="33">
        <v>4</v>
      </c>
      <c r="L8" s="21">
        <v>6</v>
      </c>
      <c r="N8" s="33">
        <v>4</v>
      </c>
      <c r="O8" s="33">
        <v>6</v>
      </c>
      <c r="P8" s="21"/>
      <c r="Q8" s="33">
        <v>4</v>
      </c>
      <c r="R8" s="21">
        <v>0</v>
      </c>
      <c r="S8" s="21"/>
      <c r="T8" s="33">
        <v>4</v>
      </c>
      <c r="U8" s="21">
        <v>6</v>
      </c>
      <c r="V8" s="21"/>
      <c r="W8" s="33">
        <v>4</v>
      </c>
      <c r="X8" s="21">
        <v>6</v>
      </c>
    </row>
    <row r="9" spans="1:24" x14ac:dyDescent="0.3">
      <c r="A9" s="33">
        <v>5</v>
      </c>
      <c r="B9" s="33">
        <v>4.5</v>
      </c>
      <c r="C9" s="21">
        <v>6</v>
      </c>
      <c r="D9" s="21"/>
      <c r="E9" s="33">
        <v>4.5</v>
      </c>
      <c r="F9" s="21">
        <v>6</v>
      </c>
      <c r="G9" s="21"/>
      <c r="H9" s="33">
        <v>4.5</v>
      </c>
      <c r="I9" s="21">
        <v>6</v>
      </c>
      <c r="J9" s="21"/>
      <c r="K9" s="33">
        <v>4.5</v>
      </c>
      <c r="L9" s="21">
        <v>6</v>
      </c>
      <c r="N9" s="33">
        <v>4.5</v>
      </c>
      <c r="O9" s="33">
        <v>6</v>
      </c>
      <c r="P9" s="21"/>
      <c r="Q9" s="33">
        <v>4.5</v>
      </c>
      <c r="R9" s="21">
        <v>6</v>
      </c>
      <c r="S9" s="21"/>
      <c r="T9" s="33">
        <v>4.5</v>
      </c>
      <c r="U9" s="21">
        <v>6</v>
      </c>
      <c r="V9" s="21"/>
      <c r="W9" s="33">
        <v>4.5</v>
      </c>
      <c r="X9" s="21">
        <v>6</v>
      </c>
    </row>
    <row r="10" spans="1:24" x14ac:dyDescent="0.3">
      <c r="A10" s="33">
        <v>5.5</v>
      </c>
      <c r="B10" s="33">
        <v>5</v>
      </c>
      <c r="C10" s="21">
        <v>6</v>
      </c>
      <c r="D10" s="21"/>
      <c r="E10" s="33">
        <v>5</v>
      </c>
      <c r="F10" s="21">
        <v>6</v>
      </c>
      <c r="G10" s="21"/>
      <c r="H10" s="33">
        <v>5</v>
      </c>
      <c r="I10" s="21">
        <v>9</v>
      </c>
      <c r="J10" s="21"/>
      <c r="K10" s="33">
        <v>5</v>
      </c>
      <c r="L10" s="21">
        <v>6</v>
      </c>
      <c r="N10" s="33">
        <v>5</v>
      </c>
      <c r="O10" s="33">
        <v>6</v>
      </c>
      <c r="P10" s="21"/>
      <c r="Q10" s="33">
        <v>5</v>
      </c>
      <c r="R10" s="21">
        <v>6</v>
      </c>
      <c r="S10" s="21"/>
      <c r="T10" s="33">
        <v>5</v>
      </c>
      <c r="U10" s="21" t="s">
        <v>96</v>
      </c>
      <c r="V10" s="21"/>
      <c r="W10" s="33">
        <v>5</v>
      </c>
      <c r="X10" s="21">
        <v>6</v>
      </c>
    </row>
    <row r="11" spans="1:24" x14ac:dyDescent="0.3">
      <c r="A11" s="33">
        <v>6</v>
      </c>
      <c r="B11" s="33">
        <v>5.5</v>
      </c>
      <c r="C11" s="21">
        <v>9</v>
      </c>
      <c r="D11" s="21"/>
      <c r="E11" s="33">
        <v>5.5</v>
      </c>
      <c r="F11" s="21">
        <v>9</v>
      </c>
      <c r="G11" s="21"/>
      <c r="H11" s="33">
        <v>5.5</v>
      </c>
      <c r="I11" s="21">
        <v>9</v>
      </c>
      <c r="J11" s="21"/>
      <c r="K11" s="33">
        <v>5.5</v>
      </c>
      <c r="L11" s="21">
        <v>9</v>
      </c>
      <c r="N11" s="33">
        <v>5.5</v>
      </c>
      <c r="O11" s="33">
        <v>8</v>
      </c>
      <c r="P11" s="21"/>
      <c r="Q11" s="33">
        <v>5.5</v>
      </c>
      <c r="R11" s="21" t="s">
        <v>96</v>
      </c>
      <c r="S11" s="21"/>
      <c r="T11" s="33">
        <v>5.5</v>
      </c>
      <c r="U11" s="21" t="s">
        <v>96</v>
      </c>
      <c r="V11" s="21"/>
      <c r="W11" s="33">
        <v>5.5</v>
      </c>
      <c r="X11" s="21" t="s">
        <v>96</v>
      </c>
    </row>
    <row r="12" spans="1:24" x14ac:dyDescent="0.3">
      <c r="A12" s="33">
        <v>6.5</v>
      </c>
      <c r="B12" s="33">
        <v>6</v>
      </c>
      <c r="C12" s="21">
        <v>17</v>
      </c>
      <c r="D12" s="21"/>
      <c r="E12" s="33">
        <v>6</v>
      </c>
      <c r="F12" s="21">
        <v>17</v>
      </c>
      <c r="G12" s="21"/>
      <c r="H12" s="33">
        <v>6</v>
      </c>
      <c r="I12" s="21">
        <v>17</v>
      </c>
      <c r="J12" s="21"/>
      <c r="K12" s="33">
        <v>6</v>
      </c>
      <c r="L12" s="21">
        <v>17</v>
      </c>
      <c r="N12" s="33">
        <v>6</v>
      </c>
      <c r="O12" s="33">
        <v>16</v>
      </c>
      <c r="P12" s="21"/>
      <c r="Q12" s="33">
        <v>6</v>
      </c>
      <c r="R12" s="21" t="s">
        <v>97</v>
      </c>
      <c r="S12" s="21"/>
      <c r="T12" s="33">
        <v>6</v>
      </c>
      <c r="U12" s="21" t="s">
        <v>97</v>
      </c>
      <c r="V12" s="21"/>
      <c r="W12" s="33">
        <v>6</v>
      </c>
      <c r="X12" s="21" t="s">
        <v>97</v>
      </c>
    </row>
    <row r="13" spans="1:24" x14ac:dyDescent="0.3">
      <c r="A13" s="33">
        <v>7</v>
      </c>
      <c r="B13" s="33">
        <v>6.5</v>
      </c>
      <c r="C13" s="21">
        <v>23</v>
      </c>
      <c r="D13" s="21"/>
      <c r="E13" s="33">
        <v>6.5</v>
      </c>
      <c r="F13" s="21">
        <v>17</v>
      </c>
      <c r="G13" s="21"/>
      <c r="H13" s="33">
        <v>6.5</v>
      </c>
      <c r="I13" s="21">
        <v>23</v>
      </c>
      <c r="J13" s="21"/>
      <c r="K13" s="33">
        <v>6.5</v>
      </c>
      <c r="L13" s="21">
        <v>23</v>
      </c>
      <c r="N13" s="33">
        <v>6.5</v>
      </c>
      <c r="O13" s="33">
        <v>22</v>
      </c>
      <c r="P13" s="21"/>
      <c r="Q13" s="33">
        <v>6.5</v>
      </c>
      <c r="R13" s="21" t="s">
        <v>97</v>
      </c>
      <c r="S13" s="21"/>
      <c r="T13" s="33">
        <v>6.5</v>
      </c>
      <c r="U13" s="21" t="s">
        <v>98</v>
      </c>
      <c r="V13" s="21"/>
      <c r="W13" s="33">
        <v>6.5</v>
      </c>
      <c r="X13" s="21" t="s">
        <v>98</v>
      </c>
    </row>
    <row r="14" spans="1:24" x14ac:dyDescent="0.3">
      <c r="A14" s="33">
        <v>7.5</v>
      </c>
      <c r="B14" s="33">
        <v>7</v>
      </c>
      <c r="C14" s="21">
        <v>31</v>
      </c>
      <c r="D14" s="21"/>
      <c r="E14" s="33">
        <v>7</v>
      </c>
      <c r="F14" s="21">
        <v>17</v>
      </c>
      <c r="G14" s="21"/>
      <c r="H14" s="33">
        <v>7</v>
      </c>
      <c r="I14" s="21">
        <v>31</v>
      </c>
      <c r="J14" s="21"/>
      <c r="K14" s="33">
        <v>7</v>
      </c>
      <c r="L14" s="21">
        <v>31</v>
      </c>
      <c r="N14" s="33">
        <v>7</v>
      </c>
      <c r="O14" s="33">
        <v>29</v>
      </c>
      <c r="P14" s="21"/>
      <c r="Q14" s="33">
        <v>7</v>
      </c>
      <c r="R14" s="21" t="s">
        <v>97</v>
      </c>
      <c r="S14" s="21"/>
      <c r="T14" s="33">
        <v>7</v>
      </c>
      <c r="U14" s="21" t="s">
        <v>99</v>
      </c>
      <c r="V14" s="21"/>
      <c r="W14" s="33">
        <v>7</v>
      </c>
      <c r="X14" s="21" t="s">
        <v>99</v>
      </c>
    </row>
    <row r="15" spans="1:24" x14ac:dyDescent="0.3">
      <c r="A15" s="33">
        <v>8</v>
      </c>
      <c r="B15" s="33">
        <v>7.5</v>
      </c>
      <c r="C15" s="21">
        <v>34</v>
      </c>
      <c r="D15" s="21"/>
      <c r="E15" s="33">
        <v>7.5</v>
      </c>
      <c r="F15" s="21">
        <v>23</v>
      </c>
      <c r="G15" s="21" t="s">
        <v>181</v>
      </c>
      <c r="H15" s="33">
        <v>7.5</v>
      </c>
      <c r="I15" s="21">
        <v>31</v>
      </c>
      <c r="J15" s="21"/>
      <c r="K15" s="33">
        <v>7.5</v>
      </c>
      <c r="L15" s="21">
        <v>34</v>
      </c>
      <c r="N15" s="33">
        <v>7.5</v>
      </c>
      <c r="O15" s="33">
        <v>32</v>
      </c>
      <c r="P15" s="21"/>
      <c r="Q15" s="33">
        <v>7.5</v>
      </c>
      <c r="R15" s="21" t="s">
        <v>98</v>
      </c>
      <c r="S15" s="21"/>
      <c r="T15" s="33">
        <v>7.5</v>
      </c>
      <c r="U15" s="21" t="s">
        <v>99</v>
      </c>
      <c r="V15" s="21"/>
      <c r="W15" s="33">
        <v>7.5</v>
      </c>
      <c r="X15" s="21" t="s">
        <v>100</v>
      </c>
    </row>
    <row r="16" spans="1:24" x14ac:dyDescent="0.3">
      <c r="A16" s="33">
        <v>8.5</v>
      </c>
      <c r="B16" s="33">
        <v>8</v>
      </c>
      <c r="C16" s="21">
        <v>34</v>
      </c>
      <c r="D16" s="21"/>
      <c r="E16" s="33">
        <v>8</v>
      </c>
      <c r="F16" s="21">
        <v>31</v>
      </c>
      <c r="G16" s="21"/>
      <c r="H16" s="33">
        <v>8</v>
      </c>
      <c r="I16" s="21">
        <v>34</v>
      </c>
      <c r="J16" s="21"/>
      <c r="K16" s="33">
        <v>8</v>
      </c>
      <c r="L16" s="21">
        <v>34</v>
      </c>
      <c r="N16" s="33">
        <v>8</v>
      </c>
      <c r="O16" s="33">
        <v>32</v>
      </c>
      <c r="P16" s="21"/>
      <c r="Q16" s="33">
        <v>8</v>
      </c>
      <c r="R16" s="21" t="s">
        <v>99</v>
      </c>
      <c r="S16" s="21"/>
      <c r="T16" s="33">
        <v>8</v>
      </c>
      <c r="U16" s="21" t="s">
        <v>100</v>
      </c>
      <c r="V16" s="21"/>
      <c r="W16" s="33">
        <v>8</v>
      </c>
      <c r="X16" s="21" t="s">
        <v>100</v>
      </c>
    </row>
    <row r="17" spans="1:31" x14ac:dyDescent="0.3">
      <c r="A17" s="33">
        <v>9</v>
      </c>
      <c r="B17" s="33">
        <v>8.5</v>
      </c>
      <c r="C17" s="21">
        <v>34</v>
      </c>
      <c r="D17" s="21"/>
      <c r="E17" s="33">
        <v>8.5</v>
      </c>
      <c r="F17" s="21">
        <v>34</v>
      </c>
      <c r="G17" s="21"/>
      <c r="H17" s="33">
        <v>8.5</v>
      </c>
      <c r="I17" s="21">
        <v>34</v>
      </c>
      <c r="J17" s="21"/>
      <c r="K17" s="33">
        <v>8.5</v>
      </c>
      <c r="L17" s="21">
        <v>34</v>
      </c>
      <c r="N17" s="33">
        <v>8.5</v>
      </c>
      <c r="O17" s="33">
        <v>32</v>
      </c>
      <c r="P17" s="21"/>
      <c r="Q17" s="33">
        <v>8.5</v>
      </c>
      <c r="R17" s="21" t="s">
        <v>100</v>
      </c>
      <c r="S17" s="21"/>
      <c r="T17" s="33">
        <v>8.5</v>
      </c>
      <c r="U17" s="21" t="s">
        <v>100</v>
      </c>
      <c r="V17" s="21"/>
      <c r="W17" s="33">
        <v>8.5</v>
      </c>
      <c r="X17" s="21" t="s">
        <v>100</v>
      </c>
    </row>
    <row r="18" spans="1:31" x14ac:dyDescent="0.3">
      <c r="A18" s="21"/>
      <c r="B18" s="33">
        <v>9</v>
      </c>
      <c r="C18" s="21">
        <v>34</v>
      </c>
      <c r="D18" s="21"/>
      <c r="E18" s="33">
        <v>9</v>
      </c>
      <c r="F18" s="21">
        <v>34</v>
      </c>
      <c r="G18" s="21"/>
      <c r="H18" s="33">
        <v>9</v>
      </c>
      <c r="I18" s="21">
        <v>34</v>
      </c>
      <c r="J18" s="21"/>
      <c r="K18" s="33">
        <v>9</v>
      </c>
      <c r="L18" s="21">
        <v>34</v>
      </c>
      <c r="N18" s="33">
        <v>9</v>
      </c>
      <c r="O18" s="33">
        <v>32</v>
      </c>
      <c r="P18" s="21"/>
      <c r="Q18" s="33">
        <v>9</v>
      </c>
      <c r="R18" s="21" t="s">
        <v>100</v>
      </c>
      <c r="S18" s="21"/>
      <c r="T18" s="33">
        <v>9</v>
      </c>
      <c r="U18" s="21" t="s">
        <v>100</v>
      </c>
      <c r="V18" s="21"/>
      <c r="W18" s="33">
        <v>9</v>
      </c>
      <c r="X18" s="21" t="s">
        <v>100</v>
      </c>
    </row>
    <row r="20" spans="1:31" x14ac:dyDescent="0.3">
      <c r="A20" s="34" t="s">
        <v>4</v>
      </c>
      <c r="G20" s="34" t="s">
        <v>4</v>
      </c>
      <c r="T20" s="34" t="s">
        <v>4</v>
      </c>
    </row>
    <row r="21" spans="1:31" x14ac:dyDescent="0.3">
      <c r="A21" t="s">
        <v>31</v>
      </c>
      <c r="B21" s="103" t="s">
        <v>94</v>
      </c>
      <c r="C21" s="103"/>
      <c r="E21" s="103" t="s">
        <v>95</v>
      </c>
      <c r="F21" s="103"/>
      <c r="H21" s="101" t="s">
        <v>94</v>
      </c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U21" s="101" t="s">
        <v>95</v>
      </c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</row>
    <row r="22" spans="1:31" x14ac:dyDescent="0.3">
      <c r="A22" s="19">
        <v>3</v>
      </c>
      <c r="B22" t="s">
        <v>36</v>
      </c>
      <c r="C22" s="19" t="s">
        <v>15</v>
      </c>
      <c r="E22" t="s">
        <v>36</v>
      </c>
      <c r="F22" s="19" t="s">
        <v>15</v>
      </c>
      <c r="H22" s="36" t="s">
        <v>56</v>
      </c>
      <c r="I22" s="36" t="s">
        <v>15</v>
      </c>
      <c r="J22" s="36"/>
      <c r="K22" s="36" t="s">
        <v>57</v>
      </c>
      <c r="L22" s="36" t="s">
        <v>15</v>
      </c>
      <c r="M22" s="36"/>
      <c r="N22" s="36" t="s">
        <v>58</v>
      </c>
      <c r="O22" s="36" t="s">
        <v>15</v>
      </c>
      <c r="P22" s="36"/>
      <c r="Q22" s="36" t="s">
        <v>59</v>
      </c>
      <c r="R22" s="36" t="s">
        <v>15</v>
      </c>
      <c r="U22" s="36" t="s">
        <v>56</v>
      </c>
      <c r="V22" s="36" t="s">
        <v>15</v>
      </c>
      <c r="W22" s="36"/>
      <c r="X22" s="36" t="s">
        <v>57</v>
      </c>
      <c r="Y22" s="36" t="s">
        <v>15</v>
      </c>
      <c r="Z22" s="36"/>
      <c r="AA22" s="36" t="s">
        <v>58</v>
      </c>
      <c r="AB22" s="36" t="s">
        <v>15</v>
      </c>
      <c r="AC22" s="36"/>
      <c r="AD22" s="36" t="s">
        <v>59</v>
      </c>
      <c r="AE22" s="36" t="s">
        <v>15</v>
      </c>
    </row>
    <row r="23" spans="1:31" x14ac:dyDescent="0.3">
      <c r="A23">
        <v>4</v>
      </c>
      <c r="B23" s="19">
        <v>3</v>
      </c>
      <c r="C23">
        <v>0</v>
      </c>
      <c r="E23" s="19">
        <v>3</v>
      </c>
      <c r="F23">
        <v>0</v>
      </c>
      <c r="H23" s="36" t="s">
        <v>37</v>
      </c>
      <c r="I23" s="36">
        <v>0</v>
      </c>
      <c r="J23" s="36"/>
      <c r="K23" s="36" t="s">
        <v>132</v>
      </c>
      <c r="L23" s="36">
        <v>0</v>
      </c>
      <c r="M23" s="36"/>
      <c r="N23" s="36" t="s">
        <v>140</v>
      </c>
      <c r="O23" s="36">
        <v>0</v>
      </c>
      <c r="P23" s="36"/>
      <c r="Q23" s="36" t="s">
        <v>37</v>
      </c>
      <c r="R23" s="36">
        <v>0</v>
      </c>
      <c r="U23" s="36" t="s">
        <v>37</v>
      </c>
      <c r="V23" s="36">
        <v>0</v>
      </c>
      <c r="W23" s="36"/>
      <c r="X23" s="36" t="s">
        <v>132</v>
      </c>
      <c r="Y23" s="36">
        <v>0</v>
      </c>
      <c r="Z23" s="36"/>
      <c r="AA23" s="36" t="s">
        <v>140</v>
      </c>
      <c r="AB23" s="36">
        <v>0</v>
      </c>
      <c r="AC23" s="36"/>
      <c r="AD23" s="36" t="s">
        <v>37</v>
      </c>
      <c r="AE23" s="36">
        <v>0</v>
      </c>
    </row>
    <row r="24" spans="1:31" x14ac:dyDescent="0.3">
      <c r="A24">
        <v>5</v>
      </c>
      <c r="B24">
        <v>4</v>
      </c>
      <c r="C24">
        <v>6</v>
      </c>
      <c r="E24">
        <v>4</v>
      </c>
      <c r="F24">
        <v>6</v>
      </c>
      <c r="H24" s="36" t="s">
        <v>38</v>
      </c>
      <c r="I24" s="36">
        <v>6</v>
      </c>
      <c r="J24" s="36"/>
      <c r="K24" s="36" t="s">
        <v>133</v>
      </c>
      <c r="L24" s="36">
        <v>6</v>
      </c>
      <c r="M24" s="36"/>
      <c r="N24" s="36" t="s">
        <v>141</v>
      </c>
      <c r="O24" s="36">
        <v>6</v>
      </c>
      <c r="P24" s="36"/>
      <c r="Q24" s="36" t="s">
        <v>38</v>
      </c>
      <c r="R24" s="36">
        <v>6</v>
      </c>
      <c r="U24" s="36" t="s">
        <v>38</v>
      </c>
      <c r="V24" s="36">
        <v>6</v>
      </c>
      <c r="W24" s="36"/>
      <c r="X24" s="36" t="s">
        <v>133</v>
      </c>
      <c r="Y24" s="36">
        <v>6</v>
      </c>
      <c r="Z24" s="36"/>
      <c r="AA24" s="36" t="s">
        <v>141</v>
      </c>
      <c r="AB24" s="36">
        <v>6</v>
      </c>
      <c r="AC24" s="36"/>
      <c r="AD24" s="36" t="s">
        <v>38</v>
      </c>
      <c r="AE24" s="36">
        <v>6</v>
      </c>
    </row>
    <row r="25" spans="1:31" x14ac:dyDescent="0.3">
      <c r="A25">
        <v>6</v>
      </c>
      <c r="B25">
        <v>5</v>
      </c>
      <c r="C25">
        <v>6</v>
      </c>
      <c r="E25">
        <v>5</v>
      </c>
      <c r="F25">
        <v>6</v>
      </c>
      <c r="H25" s="36" t="s">
        <v>44</v>
      </c>
      <c r="I25" s="36">
        <v>6</v>
      </c>
      <c r="J25" s="36"/>
      <c r="K25" s="36" t="s">
        <v>134</v>
      </c>
      <c r="L25" s="36">
        <v>6</v>
      </c>
      <c r="M25" s="36"/>
      <c r="N25" s="36" t="s">
        <v>142</v>
      </c>
      <c r="O25" s="36">
        <v>6</v>
      </c>
      <c r="P25" s="36"/>
      <c r="Q25" s="36" t="s">
        <v>44</v>
      </c>
      <c r="R25" s="36">
        <v>6</v>
      </c>
      <c r="U25" s="36" t="s">
        <v>44</v>
      </c>
      <c r="V25" s="36">
        <v>6</v>
      </c>
      <c r="W25" s="36"/>
      <c r="X25" s="36" t="s">
        <v>134</v>
      </c>
      <c r="Y25" s="36">
        <v>6</v>
      </c>
      <c r="Z25" s="36"/>
      <c r="AA25" s="36" t="s">
        <v>142</v>
      </c>
      <c r="AB25" s="36">
        <v>6</v>
      </c>
      <c r="AC25" s="36"/>
      <c r="AD25" s="36" t="s">
        <v>44</v>
      </c>
      <c r="AE25" s="36">
        <v>6</v>
      </c>
    </row>
    <row r="26" spans="1:31" x14ac:dyDescent="0.3">
      <c r="A26">
        <v>7</v>
      </c>
      <c r="B26">
        <v>6</v>
      </c>
      <c r="C26">
        <v>9</v>
      </c>
      <c r="E26">
        <v>6</v>
      </c>
      <c r="F26">
        <v>8</v>
      </c>
      <c r="H26" s="36" t="s">
        <v>39</v>
      </c>
      <c r="I26" s="36">
        <v>9</v>
      </c>
      <c r="J26" s="36"/>
      <c r="K26" s="36" t="s">
        <v>135</v>
      </c>
      <c r="L26" s="36">
        <v>17</v>
      </c>
      <c r="M26" s="36"/>
      <c r="N26" s="36" t="s">
        <v>143</v>
      </c>
      <c r="O26" s="36">
        <v>9</v>
      </c>
      <c r="P26" s="36"/>
      <c r="Q26" s="36" t="s">
        <v>39</v>
      </c>
      <c r="R26" s="36">
        <v>9</v>
      </c>
      <c r="U26" s="36" t="s">
        <v>39</v>
      </c>
      <c r="V26" s="36">
        <v>8</v>
      </c>
      <c r="W26" s="36"/>
      <c r="X26" s="36" t="s">
        <v>135</v>
      </c>
      <c r="Y26" s="36">
        <v>16</v>
      </c>
      <c r="Z26" s="36"/>
      <c r="AA26" s="36" t="s">
        <v>143</v>
      </c>
      <c r="AB26" s="36">
        <v>8</v>
      </c>
      <c r="AC26" s="36"/>
      <c r="AD26" s="36" t="s">
        <v>39</v>
      </c>
      <c r="AE26" s="36">
        <v>8</v>
      </c>
    </row>
    <row r="27" spans="1:31" x14ac:dyDescent="0.3">
      <c r="A27">
        <v>8</v>
      </c>
      <c r="B27">
        <v>7</v>
      </c>
      <c r="C27">
        <v>17</v>
      </c>
      <c r="E27">
        <v>7</v>
      </c>
      <c r="F27">
        <v>16</v>
      </c>
      <c r="H27" s="36" t="s">
        <v>40</v>
      </c>
      <c r="I27" s="36">
        <v>17</v>
      </c>
      <c r="J27" s="36"/>
      <c r="K27" s="36" t="s">
        <v>136</v>
      </c>
      <c r="L27" s="36">
        <v>17</v>
      </c>
      <c r="M27" s="36"/>
      <c r="N27" s="36" t="s">
        <v>144</v>
      </c>
      <c r="O27" s="36">
        <v>17</v>
      </c>
      <c r="P27" s="36"/>
      <c r="Q27" s="36" t="s">
        <v>40</v>
      </c>
      <c r="R27" s="36">
        <v>17</v>
      </c>
      <c r="U27" s="36" t="s">
        <v>40</v>
      </c>
      <c r="V27" s="36">
        <v>16</v>
      </c>
      <c r="W27" s="36"/>
      <c r="X27" s="36" t="s">
        <v>136</v>
      </c>
      <c r="Y27" s="36">
        <v>16</v>
      </c>
      <c r="Z27" s="36"/>
      <c r="AA27" s="36" t="s">
        <v>144</v>
      </c>
      <c r="AB27" s="36">
        <v>16</v>
      </c>
      <c r="AC27" s="36"/>
      <c r="AD27" s="36" t="s">
        <v>40</v>
      </c>
      <c r="AE27" s="36">
        <v>16</v>
      </c>
    </row>
    <row r="28" spans="1:31" x14ac:dyDescent="0.3">
      <c r="A28">
        <v>9</v>
      </c>
      <c r="B28">
        <v>8</v>
      </c>
      <c r="C28">
        <v>23</v>
      </c>
      <c r="E28">
        <v>8</v>
      </c>
      <c r="F28">
        <v>22</v>
      </c>
      <c r="H28" s="36" t="s">
        <v>41</v>
      </c>
      <c r="I28" s="36">
        <v>23</v>
      </c>
      <c r="J28" s="36"/>
      <c r="K28" s="36" t="s">
        <v>137</v>
      </c>
      <c r="L28" s="36">
        <v>23</v>
      </c>
      <c r="M28" s="36"/>
      <c r="N28" s="36" t="s">
        <v>145</v>
      </c>
      <c r="O28" s="36">
        <v>23</v>
      </c>
      <c r="P28" s="36"/>
      <c r="Q28" s="36" t="s">
        <v>41</v>
      </c>
      <c r="R28" s="36">
        <v>23</v>
      </c>
      <c r="U28" s="36" t="s">
        <v>41</v>
      </c>
      <c r="V28" s="36">
        <v>22</v>
      </c>
      <c r="W28" s="36"/>
      <c r="X28" s="36" t="s">
        <v>137</v>
      </c>
      <c r="Y28" s="36">
        <v>22</v>
      </c>
      <c r="Z28" s="36"/>
      <c r="AA28" s="36" t="s">
        <v>145</v>
      </c>
      <c r="AB28" s="36">
        <v>22</v>
      </c>
      <c r="AC28" s="36"/>
      <c r="AD28" s="36" t="s">
        <v>41</v>
      </c>
      <c r="AE28" s="36">
        <v>22</v>
      </c>
    </row>
    <row r="29" spans="1:31" x14ac:dyDescent="0.3">
      <c r="A29" s="20">
        <v>10</v>
      </c>
      <c r="B29">
        <v>9</v>
      </c>
      <c r="C29">
        <v>31</v>
      </c>
      <c r="E29">
        <v>9</v>
      </c>
      <c r="F29">
        <v>29</v>
      </c>
      <c r="H29" s="36" t="s">
        <v>42</v>
      </c>
      <c r="I29" s="36">
        <v>31</v>
      </c>
      <c r="J29" s="36"/>
      <c r="K29" s="36" t="s">
        <v>138</v>
      </c>
      <c r="L29" s="36">
        <v>31</v>
      </c>
      <c r="M29" s="36"/>
      <c r="N29" s="36" t="s">
        <v>146</v>
      </c>
      <c r="O29" s="36">
        <v>31</v>
      </c>
      <c r="P29" s="36"/>
      <c r="Q29" s="36" t="s">
        <v>42</v>
      </c>
      <c r="R29" s="36">
        <v>31</v>
      </c>
      <c r="U29" s="36" t="s">
        <v>42</v>
      </c>
      <c r="V29" s="36">
        <v>29</v>
      </c>
      <c r="W29" s="36"/>
      <c r="X29" s="36" t="s">
        <v>138</v>
      </c>
      <c r="Y29" s="36">
        <v>29</v>
      </c>
      <c r="Z29" s="36"/>
      <c r="AA29" s="36" t="s">
        <v>146</v>
      </c>
      <c r="AB29" s="36">
        <v>29</v>
      </c>
      <c r="AC29" s="36"/>
      <c r="AD29" s="36" t="s">
        <v>42</v>
      </c>
      <c r="AE29" s="36">
        <v>29</v>
      </c>
    </row>
    <row r="30" spans="1:31" x14ac:dyDescent="0.3">
      <c r="A30" s="20">
        <v>11</v>
      </c>
      <c r="B30" s="20">
        <v>10</v>
      </c>
      <c r="C30">
        <v>34</v>
      </c>
      <c r="E30" s="20">
        <v>10</v>
      </c>
      <c r="F30">
        <v>32</v>
      </c>
      <c r="H30" s="36" t="s">
        <v>43</v>
      </c>
      <c r="I30" s="36">
        <v>34</v>
      </c>
      <c r="J30" s="36"/>
      <c r="K30" s="36" t="s">
        <v>139</v>
      </c>
      <c r="L30" s="36">
        <v>34</v>
      </c>
      <c r="M30" s="36"/>
      <c r="N30" s="36" t="s">
        <v>147</v>
      </c>
      <c r="O30" s="36">
        <v>34</v>
      </c>
      <c r="P30" s="36"/>
      <c r="Q30" s="36" t="s">
        <v>43</v>
      </c>
      <c r="R30" s="36">
        <v>34</v>
      </c>
      <c r="U30" s="36" t="s">
        <v>43</v>
      </c>
      <c r="V30" s="36">
        <v>32</v>
      </c>
      <c r="W30" s="36"/>
      <c r="X30" s="36" t="s">
        <v>139</v>
      </c>
      <c r="Y30" s="36">
        <v>32</v>
      </c>
      <c r="Z30" s="36"/>
      <c r="AA30" s="36" t="s">
        <v>147</v>
      </c>
      <c r="AB30" s="36">
        <v>32</v>
      </c>
      <c r="AC30" s="36"/>
      <c r="AD30" s="36" t="s">
        <v>43</v>
      </c>
      <c r="AE30" s="36">
        <v>32</v>
      </c>
    </row>
    <row r="31" spans="1:31" x14ac:dyDescent="0.3">
      <c r="A31" s="20">
        <v>12</v>
      </c>
      <c r="B31" s="20">
        <v>11</v>
      </c>
      <c r="C31">
        <v>34</v>
      </c>
      <c r="E31" s="20">
        <v>11</v>
      </c>
      <c r="F31">
        <v>32</v>
      </c>
      <c r="H31" s="20"/>
      <c r="K31" s="20"/>
    </row>
    <row r="32" spans="1:31" x14ac:dyDescent="0.3">
      <c r="B32" s="20">
        <v>12</v>
      </c>
      <c r="C32">
        <v>34</v>
      </c>
      <c r="E32" s="20">
        <v>12</v>
      </c>
      <c r="F32">
        <v>32</v>
      </c>
      <c r="H32" s="20"/>
      <c r="K32" s="20"/>
    </row>
    <row r="34" spans="1:36" x14ac:dyDescent="0.3">
      <c r="A34" s="34" t="s">
        <v>5</v>
      </c>
      <c r="B34" s="97" t="s">
        <v>94</v>
      </c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34" t="s">
        <v>4</v>
      </c>
      <c r="N34" s="101" t="s">
        <v>94</v>
      </c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34" t="s">
        <v>4</v>
      </c>
      <c r="Z34" s="101" t="s">
        <v>95</v>
      </c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</row>
    <row r="35" spans="1:36" x14ac:dyDescent="0.3">
      <c r="B35" t="s">
        <v>56</v>
      </c>
      <c r="C35" t="s">
        <v>15</v>
      </c>
      <c r="E35" t="s">
        <v>57</v>
      </c>
      <c r="F35" t="s">
        <v>15</v>
      </c>
      <c r="H35" t="s">
        <v>58</v>
      </c>
      <c r="I35" t="s">
        <v>15</v>
      </c>
      <c r="K35" t="s">
        <v>59</v>
      </c>
      <c r="L35" t="s">
        <v>15</v>
      </c>
      <c r="N35" s="36" t="s">
        <v>60</v>
      </c>
      <c r="O35" s="36" t="s">
        <v>15</v>
      </c>
      <c r="P35" s="36"/>
      <c r="Q35" s="36" t="s">
        <v>61</v>
      </c>
      <c r="R35" s="36" t="s">
        <v>15</v>
      </c>
      <c r="S35" s="36"/>
      <c r="T35" s="36" t="s">
        <v>62</v>
      </c>
      <c r="U35" s="36" t="s">
        <v>15</v>
      </c>
      <c r="V35" s="36"/>
      <c r="W35" s="36" t="s">
        <v>63</v>
      </c>
      <c r="X35" s="36" t="s">
        <v>15</v>
      </c>
      <c r="Z35" s="36" t="s">
        <v>60</v>
      </c>
      <c r="AA35" s="36" t="s">
        <v>15</v>
      </c>
      <c r="AB35" s="36"/>
      <c r="AC35" s="36" t="s">
        <v>61</v>
      </c>
      <c r="AD35" s="36" t="s">
        <v>15</v>
      </c>
      <c r="AE35" s="36"/>
      <c r="AF35" s="36" t="s">
        <v>62</v>
      </c>
      <c r="AG35" s="36" t="s">
        <v>15</v>
      </c>
      <c r="AH35" s="36"/>
      <c r="AI35" s="36" t="s">
        <v>63</v>
      </c>
      <c r="AJ35" s="36" t="s">
        <v>15</v>
      </c>
    </row>
    <row r="36" spans="1:36" x14ac:dyDescent="0.3">
      <c r="B36" t="s">
        <v>37</v>
      </c>
      <c r="C36">
        <v>0</v>
      </c>
      <c r="E36" t="s">
        <v>132</v>
      </c>
      <c r="F36">
        <v>0</v>
      </c>
      <c r="H36" t="s">
        <v>140</v>
      </c>
      <c r="I36">
        <v>0</v>
      </c>
      <c r="K36" t="s">
        <v>37</v>
      </c>
      <c r="L36">
        <v>0</v>
      </c>
      <c r="N36" s="74" t="s">
        <v>35</v>
      </c>
      <c r="O36" s="75">
        <v>0</v>
      </c>
      <c r="P36" s="36"/>
      <c r="Q36" s="74" t="s">
        <v>155</v>
      </c>
      <c r="R36" s="36">
        <v>0</v>
      </c>
      <c r="S36" s="36"/>
      <c r="T36" s="74" t="s">
        <v>163</v>
      </c>
      <c r="U36" s="36">
        <v>0</v>
      </c>
      <c r="V36" s="36"/>
      <c r="W36" s="74" t="s">
        <v>35</v>
      </c>
      <c r="X36" s="36">
        <v>0</v>
      </c>
      <c r="Z36" s="74" t="s">
        <v>35</v>
      </c>
      <c r="AA36" s="75">
        <v>0</v>
      </c>
      <c r="AB36" s="36"/>
      <c r="AC36" s="74" t="s">
        <v>155</v>
      </c>
      <c r="AD36" s="36">
        <v>0</v>
      </c>
      <c r="AE36" s="36"/>
      <c r="AF36" s="74" t="s">
        <v>163</v>
      </c>
      <c r="AG36" s="36">
        <v>0</v>
      </c>
      <c r="AH36" s="36"/>
      <c r="AI36" s="74" t="s">
        <v>35</v>
      </c>
      <c r="AJ36" s="36">
        <v>0</v>
      </c>
    </row>
    <row r="37" spans="1:36" x14ac:dyDescent="0.3">
      <c r="B37" t="s">
        <v>38</v>
      </c>
      <c r="C37">
        <v>0</v>
      </c>
      <c r="E37" t="s">
        <v>133</v>
      </c>
      <c r="F37">
        <v>0</v>
      </c>
      <c r="H37" t="s">
        <v>141</v>
      </c>
      <c r="I37">
        <v>0</v>
      </c>
      <c r="K37" t="s">
        <v>38</v>
      </c>
      <c r="L37">
        <v>0</v>
      </c>
      <c r="N37" s="74" t="s">
        <v>148</v>
      </c>
      <c r="O37" s="75">
        <v>6</v>
      </c>
      <c r="P37" s="36"/>
      <c r="Q37" s="74" t="s">
        <v>156</v>
      </c>
      <c r="R37" s="36">
        <v>6</v>
      </c>
      <c r="S37" s="36"/>
      <c r="T37" s="74" t="s">
        <v>164</v>
      </c>
      <c r="U37" s="36">
        <v>6</v>
      </c>
      <c r="V37" s="36"/>
      <c r="W37" s="74" t="s">
        <v>148</v>
      </c>
      <c r="X37" s="36">
        <v>6</v>
      </c>
      <c r="Z37" s="74" t="s">
        <v>148</v>
      </c>
      <c r="AA37" s="75">
        <v>6</v>
      </c>
      <c r="AB37" s="36"/>
      <c r="AC37" s="74" t="s">
        <v>156</v>
      </c>
      <c r="AD37" s="36">
        <v>6</v>
      </c>
      <c r="AE37" s="36"/>
      <c r="AF37" s="74" t="s">
        <v>164</v>
      </c>
      <c r="AG37" s="36">
        <v>6</v>
      </c>
      <c r="AH37" s="36"/>
      <c r="AI37" s="74" t="s">
        <v>148</v>
      </c>
      <c r="AJ37" s="36">
        <v>6</v>
      </c>
    </row>
    <row r="38" spans="1:36" x14ac:dyDescent="0.3">
      <c r="B38" t="s">
        <v>44</v>
      </c>
      <c r="C38">
        <v>1</v>
      </c>
      <c r="E38" t="s">
        <v>134</v>
      </c>
      <c r="F38">
        <v>1</v>
      </c>
      <c r="H38" t="s">
        <v>142</v>
      </c>
      <c r="I38">
        <v>1</v>
      </c>
      <c r="K38" t="s">
        <v>44</v>
      </c>
      <c r="L38">
        <v>1</v>
      </c>
      <c r="N38" s="74" t="s">
        <v>149</v>
      </c>
      <c r="O38" s="75">
        <v>6</v>
      </c>
      <c r="P38" s="36"/>
      <c r="Q38" s="74" t="s">
        <v>157</v>
      </c>
      <c r="R38" s="36">
        <v>6</v>
      </c>
      <c r="S38" s="36"/>
      <c r="T38" s="74" t="s">
        <v>165</v>
      </c>
      <c r="U38" s="36">
        <v>6</v>
      </c>
      <c r="V38" s="36"/>
      <c r="W38" s="74" t="s">
        <v>149</v>
      </c>
      <c r="X38" s="36">
        <v>6</v>
      </c>
      <c r="Z38" s="74" t="s">
        <v>149</v>
      </c>
      <c r="AA38" s="75">
        <v>6</v>
      </c>
      <c r="AB38" s="36"/>
      <c r="AC38" s="74" t="s">
        <v>157</v>
      </c>
      <c r="AD38" s="36">
        <v>6</v>
      </c>
      <c r="AE38" s="36"/>
      <c r="AF38" s="74" t="s">
        <v>165</v>
      </c>
      <c r="AG38" s="36">
        <v>6</v>
      </c>
      <c r="AH38" s="36"/>
      <c r="AI38" s="74" t="s">
        <v>149</v>
      </c>
      <c r="AJ38" s="36">
        <v>6</v>
      </c>
    </row>
    <row r="39" spans="1:36" x14ac:dyDescent="0.3">
      <c r="B39" t="s">
        <v>39</v>
      </c>
      <c r="C39">
        <v>1</v>
      </c>
      <c r="E39" t="s">
        <v>135</v>
      </c>
      <c r="F39">
        <v>1</v>
      </c>
      <c r="H39" t="s">
        <v>143</v>
      </c>
      <c r="I39">
        <v>1</v>
      </c>
      <c r="K39" t="s">
        <v>39</v>
      </c>
      <c r="L39">
        <v>1</v>
      </c>
      <c r="N39" s="74" t="s">
        <v>150</v>
      </c>
      <c r="O39" s="75">
        <v>9</v>
      </c>
      <c r="P39" s="36"/>
      <c r="Q39" s="74" t="s">
        <v>158</v>
      </c>
      <c r="R39" s="36">
        <v>9</v>
      </c>
      <c r="S39" s="36"/>
      <c r="T39" s="74" t="s">
        <v>166</v>
      </c>
      <c r="U39" s="36">
        <v>9</v>
      </c>
      <c r="V39" s="36"/>
      <c r="W39" s="74" t="s">
        <v>150</v>
      </c>
      <c r="X39" s="36">
        <v>9</v>
      </c>
      <c r="Z39" s="74" t="s">
        <v>150</v>
      </c>
      <c r="AA39" s="75">
        <v>8</v>
      </c>
      <c r="AB39" s="36"/>
      <c r="AC39" s="74" t="s">
        <v>158</v>
      </c>
      <c r="AD39" s="36">
        <v>8</v>
      </c>
      <c r="AE39" s="36"/>
      <c r="AF39" s="74" t="s">
        <v>166</v>
      </c>
      <c r="AG39" s="36">
        <v>8</v>
      </c>
      <c r="AH39" s="36"/>
      <c r="AI39" s="74" t="s">
        <v>150</v>
      </c>
      <c r="AJ39" s="36">
        <v>8</v>
      </c>
    </row>
    <row r="40" spans="1:36" x14ac:dyDescent="0.3">
      <c r="B40" t="s">
        <v>40</v>
      </c>
      <c r="C40">
        <v>3</v>
      </c>
      <c r="E40" t="s">
        <v>136</v>
      </c>
      <c r="F40">
        <v>3</v>
      </c>
      <c r="H40" t="s">
        <v>144</v>
      </c>
      <c r="I40">
        <v>3</v>
      </c>
      <c r="K40" t="s">
        <v>40</v>
      </c>
      <c r="L40">
        <v>3</v>
      </c>
      <c r="N40" s="74" t="s">
        <v>151</v>
      </c>
      <c r="O40" s="75">
        <v>17</v>
      </c>
      <c r="P40" s="36"/>
      <c r="Q40" s="74" t="s">
        <v>159</v>
      </c>
      <c r="R40" s="36">
        <v>17</v>
      </c>
      <c r="S40" s="36"/>
      <c r="T40" s="74" t="s">
        <v>167</v>
      </c>
      <c r="U40" s="36">
        <v>17</v>
      </c>
      <c r="V40" s="36"/>
      <c r="W40" s="74" t="s">
        <v>151</v>
      </c>
      <c r="X40" s="36">
        <v>17</v>
      </c>
      <c r="Z40" s="74" t="s">
        <v>151</v>
      </c>
      <c r="AA40" s="75">
        <v>16</v>
      </c>
      <c r="AB40" s="36"/>
      <c r="AC40" s="74" t="s">
        <v>159</v>
      </c>
      <c r="AD40" s="36">
        <v>16</v>
      </c>
      <c r="AE40" s="36"/>
      <c r="AF40" s="74" t="s">
        <v>167</v>
      </c>
      <c r="AG40" s="36">
        <v>16</v>
      </c>
      <c r="AH40" s="36"/>
      <c r="AI40" s="74" t="s">
        <v>151</v>
      </c>
      <c r="AJ40" s="36">
        <v>16</v>
      </c>
    </row>
    <row r="41" spans="1:36" x14ac:dyDescent="0.3">
      <c r="B41" t="s">
        <v>41</v>
      </c>
      <c r="C41">
        <v>3</v>
      </c>
      <c r="E41" t="s">
        <v>137</v>
      </c>
      <c r="F41">
        <v>3</v>
      </c>
      <c r="H41" t="s">
        <v>145</v>
      </c>
      <c r="I41">
        <v>3</v>
      </c>
      <c r="K41" t="s">
        <v>41</v>
      </c>
      <c r="L41">
        <v>3</v>
      </c>
      <c r="N41" s="74" t="s">
        <v>152</v>
      </c>
      <c r="O41" s="75">
        <v>23</v>
      </c>
      <c r="P41" s="36"/>
      <c r="Q41" s="74" t="s">
        <v>160</v>
      </c>
      <c r="R41" s="36">
        <v>23</v>
      </c>
      <c r="S41" s="36"/>
      <c r="T41" s="74" t="s">
        <v>168</v>
      </c>
      <c r="U41" s="36">
        <v>23</v>
      </c>
      <c r="V41" s="36"/>
      <c r="W41" s="74" t="s">
        <v>152</v>
      </c>
      <c r="X41" s="36">
        <v>23</v>
      </c>
      <c r="Z41" s="74" t="s">
        <v>152</v>
      </c>
      <c r="AA41" s="75">
        <v>22</v>
      </c>
      <c r="AB41" s="36"/>
      <c r="AC41" s="74" t="s">
        <v>160</v>
      </c>
      <c r="AD41" s="36">
        <v>22</v>
      </c>
      <c r="AE41" s="36"/>
      <c r="AF41" s="74" t="s">
        <v>168</v>
      </c>
      <c r="AG41" s="36">
        <v>22</v>
      </c>
      <c r="AH41" s="36"/>
      <c r="AI41" s="74" t="s">
        <v>152</v>
      </c>
      <c r="AJ41" s="36">
        <v>22</v>
      </c>
    </row>
    <row r="42" spans="1:36" x14ac:dyDescent="0.3">
      <c r="B42" t="s">
        <v>42</v>
      </c>
      <c r="C42">
        <v>6</v>
      </c>
      <c r="E42" t="s">
        <v>138</v>
      </c>
      <c r="F42">
        <v>6</v>
      </c>
      <c r="H42" t="s">
        <v>146</v>
      </c>
      <c r="I42">
        <v>6</v>
      </c>
      <c r="K42" t="s">
        <v>42</v>
      </c>
      <c r="L42">
        <v>6</v>
      </c>
      <c r="N42" s="74" t="s">
        <v>153</v>
      </c>
      <c r="O42" s="75">
        <v>31</v>
      </c>
      <c r="P42" s="36"/>
      <c r="Q42" s="74" t="s">
        <v>161</v>
      </c>
      <c r="R42" s="36">
        <v>31</v>
      </c>
      <c r="S42" s="36"/>
      <c r="T42" s="74" t="s">
        <v>169</v>
      </c>
      <c r="U42" s="36">
        <v>31</v>
      </c>
      <c r="V42" s="36"/>
      <c r="W42" s="74" t="s">
        <v>153</v>
      </c>
      <c r="X42" s="36">
        <v>31</v>
      </c>
      <c r="Z42" s="74" t="s">
        <v>153</v>
      </c>
      <c r="AA42" s="75">
        <v>29</v>
      </c>
      <c r="AB42" s="36"/>
      <c r="AC42" s="74" t="s">
        <v>161</v>
      </c>
      <c r="AD42" s="36">
        <v>29</v>
      </c>
      <c r="AE42" s="36"/>
      <c r="AF42" s="74" t="s">
        <v>169</v>
      </c>
      <c r="AG42" s="36">
        <v>29</v>
      </c>
      <c r="AH42" s="36"/>
      <c r="AI42" s="74" t="s">
        <v>153</v>
      </c>
      <c r="AJ42" s="36">
        <v>29</v>
      </c>
    </row>
    <row r="43" spans="1:36" x14ac:dyDescent="0.3">
      <c r="B43" t="s">
        <v>43</v>
      </c>
      <c r="C43">
        <v>6</v>
      </c>
      <c r="E43" t="s">
        <v>139</v>
      </c>
      <c r="F43">
        <v>6</v>
      </c>
      <c r="H43" t="s">
        <v>147</v>
      </c>
      <c r="I43">
        <v>6</v>
      </c>
      <c r="K43" t="s">
        <v>43</v>
      </c>
      <c r="L43">
        <v>6</v>
      </c>
      <c r="N43" s="74" t="s">
        <v>154</v>
      </c>
      <c r="O43" s="75">
        <v>34</v>
      </c>
      <c r="P43" s="36"/>
      <c r="Q43" s="74" t="s">
        <v>162</v>
      </c>
      <c r="R43" s="36">
        <v>34</v>
      </c>
      <c r="S43" s="36"/>
      <c r="T43" s="74" t="s">
        <v>162</v>
      </c>
      <c r="U43" s="36">
        <v>34</v>
      </c>
      <c r="V43" s="36"/>
      <c r="W43" s="74" t="s">
        <v>154</v>
      </c>
      <c r="X43" s="36">
        <v>34</v>
      </c>
      <c r="Z43" s="74" t="s">
        <v>154</v>
      </c>
      <c r="AA43" s="75">
        <v>32</v>
      </c>
      <c r="AB43" s="36"/>
      <c r="AC43" s="74" t="s">
        <v>162</v>
      </c>
      <c r="AD43" s="36">
        <v>32</v>
      </c>
      <c r="AE43" s="36"/>
      <c r="AF43" s="74" t="s">
        <v>162</v>
      </c>
      <c r="AG43" s="36">
        <v>32</v>
      </c>
      <c r="AH43" s="36"/>
      <c r="AI43" s="74" t="s">
        <v>154</v>
      </c>
      <c r="AJ43" s="36">
        <v>32</v>
      </c>
    </row>
    <row r="44" spans="1:36" x14ac:dyDescent="0.3"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</row>
    <row r="46" spans="1:36" x14ac:dyDescent="0.3">
      <c r="A46" s="34" t="s">
        <v>5</v>
      </c>
      <c r="B46" s="97" t="s">
        <v>94</v>
      </c>
      <c r="C46" s="97"/>
      <c r="D46" s="97"/>
      <c r="E46" s="97"/>
      <c r="F46" s="97"/>
      <c r="G46" s="97"/>
      <c r="H46" s="97"/>
      <c r="I46" s="97"/>
      <c r="J46" s="97"/>
      <c r="K46" s="97"/>
      <c r="L46" s="97"/>
    </row>
    <row r="47" spans="1:36" x14ac:dyDescent="0.3">
      <c r="B47" t="s">
        <v>60</v>
      </c>
      <c r="C47" t="s">
        <v>15</v>
      </c>
      <c r="E47" t="s">
        <v>61</v>
      </c>
      <c r="F47" t="s">
        <v>15</v>
      </c>
      <c r="H47" t="s">
        <v>62</v>
      </c>
      <c r="I47" t="s">
        <v>15</v>
      </c>
      <c r="K47" t="s">
        <v>63</v>
      </c>
      <c r="L47" t="s">
        <v>15</v>
      </c>
    </row>
    <row r="48" spans="1:36" x14ac:dyDescent="0.3">
      <c r="B48" s="21" t="s">
        <v>35</v>
      </c>
      <c r="C48">
        <v>0</v>
      </c>
      <c r="E48" s="21" t="s">
        <v>155</v>
      </c>
      <c r="F48">
        <v>0</v>
      </c>
      <c r="H48" s="21" t="s">
        <v>163</v>
      </c>
      <c r="I48">
        <v>0</v>
      </c>
      <c r="K48" s="21" t="s">
        <v>35</v>
      </c>
      <c r="L48">
        <v>0</v>
      </c>
    </row>
    <row r="49" spans="2:15" x14ac:dyDescent="0.3">
      <c r="B49" s="21" t="s">
        <v>148</v>
      </c>
      <c r="C49">
        <v>0</v>
      </c>
      <c r="E49" s="21" t="s">
        <v>156</v>
      </c>
      <c r="F49">
        <v>0</v>
      </c>
      <c r="H49" s="21" t="s">
        <v>164</v>
      </c>
      <c r="I49">
        <v>0</v>
      </c>
      <c r="K49" s="21" t="s">
        <v>148</v>
      </c>
      <c r="L49">
        <v>0</v>
      </c>
    </row>
    <row r="50" spans="2:15" x14ac:dyDescent="0.3">
      <c r="B50" s="77">
        <v>6</v>
      </c>
      <c r="C50">
        <v>1</v>
      </c>
      <c r="E50" s="21" t="s">
        <v>157</v>
      </c>
      <c r="F50">
        <v>1</v>
      </c>
      <c r="H50" s="21" t="s">
        <v>165</v>
      </c>
      <c r="I50">
        <v>1</v>
      </c>
      <c r="K50" s="77">
        <v>6</v>
      </c>
      <c r="L50">
        <v>1</v>
      </c>
    </row>
    <row r="51" spans="2:15" x14ac:dyDescent="0.3">
      <c r="B51" s="21" t="s">
        <v>150</v>
      </c>
      <c r="C51">
        <v>1</v>
      </c>
      <c r="E51" s="21" t="s">
        <v>158</v>
      </c>
      <c r="F51">
        <v>1</v>
      </c>
      <c r="H51" s="21" t="s">
        <v>166</v>
      </c>
      <c r="I51">
        <v>1</v>
      </c>
      <c r="K51" s="21" t="s">
        <v>150</v>
      </c>
      <c r="L51">
        <v>1</v>
      </c>
    </row>
    <row r="52" spans="2:15" x14ac:dyDescent="0.3">
      <c r="B52" s="21" t="s">
        <v>151</v>
      </c>
      <c r="C52">
        <v>3</v>
      </c>
      <c r="E52" s="21" t="s">
        <v>159</v>
      </c>
      <c r="F52">
        <v>3</v>
      </c>
      <c r="H52" s="21" t="s">
        <v>167</v>
      </c>
      <c r="I52">
        <v>3</v>
      </c>
      <c r="K52" s="21" t="s">
        <v>151</v>
      </c>
      <c r="L52">
        <v>3</v>
      </c>
    </row>
    <row r="53" spans="2:15" x14ac:dyDescent="0.3">
      <c r="B53" s="21" t="s">
        <v>152</v>
      </c>
      <c r="C53">
        <v>3</v>
      </c>
      <c r="E53" s="21" t="s">
        <v>160</v>
      </c>
      <c r="F53">
        <v>3</v>
      </c>
      <c r="H53" s="21" t="s">
        <v>168</v>
      </c>
      <c r="I53">
        <v>3</v>
      </c>
      <c r="K53" s="21" t="s">
        <v>152</v>
      </c>
      <c r="L53">
        <v>3</v>
      </c>
    </row>
    <row r="54" spans="2:15" x14ac:dyDescent="0.3">
      <c r="B54" s="21" t="s">
        <v>153</v>
      </c>
      <c r="C54">
        <v>6</v>
      </c>
      <c r="E54" s="21" t="s">
        <v>161</v>
      </c>
      <c r="F54">
        <v>6</v>
      </c>
      <c r="H54" s="21" t="s">
        <v>169</v>
      </c>
      <c r="I54">
        <v>6</v>
      </c>
      <c r="K54" s="21" t="s">
        <v>153</v>
      </c>
      <c r="L54">
        <v>6</v>
      </c>
    </row>
    <row r="55" spans="2:15" x14ac:dyDescent="0.3">
      <c r="B55" s="21" t="s">
        <v>154</v>
      </c>
      <c r="C55">
        <v>6</v>
      </c>
      <c r="E55" s="21" t="s">
        <v>162</v>
      </c>
      <c r="F55">
        <v>6</v>
      </c>
      <c r="H55" s="21" t="s">
        <v>162</v>
      </c>
      <c r="I55">
        <v>6</v>
      </c>
      <c r="K55" s="21" t="s">
        <v>154</v>
      </c>
      <c r="L55">
        <v>6</v>
      </c>
    </row>
    <row r="58" spans="2:15" x14ac:dyDescent="0.3">
      <c r="B58" s="21"/>
    </row>
    <row r="60" spans="2:15" x14ac:dyDescent="0.3">
      <c r="H60" s="102" t="s">
        <v>190</v>
      </c>
      <c r="I60" s="102"/>
      <c r="K60" s="102" t="s">
        <v>191</v>
      </c>
      <c r="L60" s="102"/>
      <c r="N60" s="102" t="s">
        <v>5</v>
      </c>
      <c r="O60" s="102"/>
    </row>
    <row r="61" spans="2:15" x14ac:dyDescent="0.3">
      <c r="H61" s="79" t="s">
        <v>189</v>
      </c>
      <c r="I61" s="78" t="s">
        <v>15</v>
      </c>
      <c r="K61" s="79" t="s">
        <v>189</v>
      </c>
      <c r="L61" s="78" t="s">
        <v>15</v>
      </c>
      <c r="N61" s="79" t="s">
        <v>189</v>
      </c>
      <c r="O61" s="78" t="s">
        <v>15</v>
      </c>
    </row>
    <row r="62" spans="2:15" x14ac:dyDescent="0.3">
      <c r="B62" t="s">
        <v>182</v>
      </c>
      <c r="H62" s="81">
        <v>3</v>
      </c>
      <c r="I62">
        <v>0</v>
      </c>
      <c r="K62" s="81">
        <v>3</v>
      </c>
      <c r="L62">
        <v>0</v>
      </c>
      <c r="N62" s="81">
        <v>3</v>
      </c>
      <c r="O62">
        <v>0</v>
      </c>
    </row>
    <row r="63" spans="2:15" x14ac:dyDescent="0.3">
      <c r="B63" t="s">
        <v>183</v>
      </c>
      <c r="H63" s="81">
        <v>4</v>
      </c>
      <c r="I63">
        <v>6</v>
      </c>
      <c r="K63" s="81">
        <v>4</v>
      </c>
      <c r="L63">
        <v>6</v>
      </c>
      <c r="N63" s="81">
        <v>4</v>
      </c>
      <c r="O63">
        <v>0</v>
      </c>
    </row>
    <row r="64" spans="2:15" x14ac:dyDescent="0.3">
      <c r="B64" t="s">
        <v>131</v>
      </c>
      <c r="H64" s="81">
        <v>5</v>
      </c>
      <c r="I64">
        <v>6</v>
      </c>
      <c r="K64" s="81">
        <v>5</v>
      </c>
      <c r="L64">
        <v>6</v>
      </c>
      <c r="N64" s="81">
        <v>5</v>
      </c>
      <c r="O64">
        <v>1</v>
      </c>
    </row>
    <row r="65" spans="2:15" x14ac:dyDescent="0.3">
      <c r="B65" t="s">
        <v>184</v>
      </c>
      <c r="H65" s="81">
        <v>6</v>
      </c>
      <c r="I65">
        <v>9</v>
      </c>
      <c r="K65" s="81">
        <v>6</v>
      </c>
      <c r="L65">
        <v>8</v>
      </c>
      <c r="N65" s="81">
        <v>6</v>
      </c>
      <c r="O65">
        <v>1</v>
      </c>
    </row>
    <row r="66" spans="2:15" x14ac:dyDescent="0.3">
      <c r="B66" t="s">
        <v>185</v>
      </c>
      <c r="H66" s="81">
        <v>7</v>
      </c>
      <c r="I66">
        <v>17</v>
      </c>
      <c r="K66" s="81">
        <v>7</v>
      </c>
      <c r="L66">
        <v>16</v>
      </c>
      <c r="N66" s="81">
        <v>7</v>
      </c>
      <c r="O66">
        <v>3</v>
      </c>
    </row>
    <row r="67" spans="2:15" x14ac:dyDescent="0.3">
      <c r="B67" t="s">
        <v>186</v>
      </c>
      <c r="H67" s="81">
        <v>8</v>
      </c>
      <c r="I67">
        <v>23</v>
      </c>
      <c r="K67" s="81">
        <v>8</v>
      </c>
      <c r="L67">
        <v>22</v>
      </c>
      <c r="N67" s="81">
        <v>8</v>
      </c>
      <c r="O67">
        <v>3</v>
      </c>
    </row>
    <row r="68" spans="2:15" x14ac:dyDescent="0.3">
      <c r="B68" t="s">
        <v>187</v>
      </c>
      <c r="H68" s="81">
        <v>9</v>
      </c>
      <c r="I68">
        <v>31</v>
      </c>
      <c r="K68" s="81">
        <v>9</v>
      </c>
      <c r="L68">
        <v>29</v>
      </c>
      <c r="N68" s="81">
        <v>9</v>
      </c>
      <c r="O68">
        <v>6</v>
      </c>
    </row>
    <row r="69" spans="2:15" x14ac:dyDescent="0.3">
      <c r="B69" t="s">
        <v>188</v>
      </c>
      <c r="H69" s="81">
        <v>10</v>
      </c>
      <c r="I69">
        <v>34</v>
      </c>
      <c r="K69" s="81">
        <v>10</v>
      </c>
      <c r="L69">
        <v>32</v>
      </c>
      <c r="N69" s="81">
        <v>10</v>
      </c>
      <c r="O69">
        <v>6</v>
      </c>
    </row>
    <row r="73" spans="2:15" x14ac:dyDescent="0.3">
      <c r="B73" t="s">
        <v>32</v>
      </c>
    </row>
    <row r="74" spans="2:15" x14ac:dyDescent="0.3">
      <c r="B74" t="s">
        <v>33</v>
      </c>
    </row>
    <row r="75" spans="2:15" x14ac:dyDescent="0.3">
      <c r="B75" t="s">
        <v>192</v>
      </c>
      <c r="F75" t="s">
        <v>30</v>
      </c>
    </row>
    <row r="76" spans="2:15" x14ac:dyDescent="0.3">
      <c r="B76" t="s">
        <v>30</v>
      </c>
      <c r="F76" t="s">
        <v>20</v>
      </c>
    </row>
    <row r="77" spans="2:15" x14ac:dyDescent="0.3">
      <c r="B77" t="s">
        <v>20</v>
      </c>
      <c r="F77" t="s">
        <v>32</v>
      </c>
    </row>
    <row r="78" spans="2:15" x14ac:dyDescent="0.3">
      <c r="B78" t="s">
        <v>192</v>
      </c>
      <c r="F78" t="s">
        <v>33</v>
      </c>
    </row>
    <row r="79" spans="2:15" x14ac:dyDescent="0.3">
      <c r="F79" t="s">
        <v>192</v>
      </c>
    </row>
  </sheetData>
  <mergeCells count="13">
    <mergeCell ref="Z34:AJ34"/>
    <mergeCell ref="H60:I60"/>
    <mergeCell ref="K60:L60"/>
    <mergeCell ref="N60:O60"/>
    <mergeCell ref="B4:L4"/>
    <mergeCell ref="N4:X4"/>
    <mergeCell ref="B21:C21"/>
    <mergeCell ref="E21:F21"/>
    <mergeCell ref="B34:L34"/>
    <mergeCell ref="B46:L46"/>
    <mergeCell ref="H21:R21"/>
    <mergeCell ref="U21:AE21"/>
    <mergeCell ref="N34:X34"/>
  </mergeCells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49660-EC29-4539-88FA-8162D982ECE9}">
  <sheetPr codeName="Sheet6"/>
  <dimension ref="A1:F21"/>
  <sheetViews>
    <sheetView workbookViewId="0">
      <selection activeCell="J32" sqref="J32"/>
    </sheetView>
  </sheetViews>
  <sheetFormatPr defaultRowHeight="14.4" x14ac:dyDescent="0.3"/>
  <sheetData>
    <row r="1" spans="1:6" x14ac:dyDescent="0.3">
      <c r="A1" t="s">
        <v>82</v>
      </c>
    </row>
    <row r="3" spans="1:6" x14ac:dyDescent="0.3">
      <c r="B3" s="103" t="s">
        <v>94</v>
      </c>
      <c r="C3" s="103"/>
    </row>
    <row r="4" spans="1:6" x14ac:dyDescent="0.3">
      <c r="B4" t="s">
        <v>80</v>
      </c>
      <c r="C4" t="s">
        <v>15</v>
      </c>
      <c r="E4" t="s">
        <v>81</v>
      </c>
      <c r="F4" t="s">
        <v>15</v>
      </c>
    </row>
    <row r="5" spans="1:6" x14ac:dyDescent="0.3">
      <c r="B5" s="22">
        <v>0</v>
      </c>
      <c r="C5">
        <v>0</v>
      </c>
      <c r="E5">
        <v>0</v>
      </c>
      <c r="F5">
        <v>0</v>
      </c>
    </row>
    <row r="6" spans="1:6" x14ac:dyDescent="0.3">
      <c r="B6" s="22">
        <v>1</v>
      </c>
      <c r="C6">
        <v>40</v>
      </c>
    </row>
    <row r="7" spans="1:6" x14ac:dyDescent="0.3">
      <c r="B7" s="22">
        <v>2</v>
      </c>
      <c r="C7">
        <v>53</v>
      </c>
    </row>
    <row r="8" spans="1:6" x14ac:dyDescent="0.3">
      <c r="B8" s="22">
        <v>3</v>
      </c>
      <c r="C8">
        <v>64</v>
      </c>
    </row>
    <row r="9" spans="1:6" x14ac:dyDescent="0.3">
      <c r="B9" s="22">
        <v>4</v>
      </c>
      <c r="C9">
        <v>72</v>
      </c>
    </row>
    <row r="10" spans="1:6" x14ac:dyDescent="0.3">
      <c r="B10" s="22" t="s">
        <v>83</v>
      </c>
      <c r="C10">
        <v>80</v>
      </c>
    </row>
    <row r="14" spans="1:6" x14ac:dyDescent="0.3">
      <c r="B14" s="103" t="s">
        <v>95</v>
      </c>
      <c r="C14" s="103"/>
    </row>
    <row r="15" spans="1:6" x14ac:dyDescent="0.3">
      <c r="B15" t="s">
        <v>80</v>
      </c>
      <c r="C15" t="s">
        <v>15</v>
      </c>
    </row>
    <row r="16" spans="1:6" x14ac:dyDescent="0.3">
      <c r="B16" s="22">
        <v>0</v>
      </c>
      <c r="C16">
        <v>0</v>
      </c>
    </row>
    <row r="17" spans="2:3" x14ac:dyDescent="0.3">
      <c r="B17" s="22">
        <v>1</v>
      </c>
      <c r="C17">
        <v>35</v>
      </c>
    </row>
    <row r="18" spans="2:3" x14ac:dyDescent="0.3">
      <c r="B18" s="22">
        <v>2</v>
      </c>
      <c r="C18">
        <v>46</v>
      </c>
    </row>
    <row r="19" spans="2:3" x14ac:dyDescent="0.3">
      <c r="B19" s="22">
        <v>3</v>
      </c>
      <c r="C19">
        <v>56</v>
      </c>
    </row>
    <row r="20" spans="2:3" x14ac:dyDescent="0.3">
      <c r="B20" s="22">
        <v>4</v>
      </c>
      <c r="C20">
        <v>63</v>
      </c>
    </row>
    <row r="21" spans="2:3" x14ac:dyDescent="0.3">
      <c r="B21" s="22" t="s">
        <v>83</v>
      </c>
      <c r="C21">
        <v>70</v>
      </c>
    </row>
  </sheetData>
  <mergeCells count="2">
    <mergeCell ref="B3:C3"/>
    <mergeCell ref="B14:C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24E50-662F-449A-8836-7B5FC4959843}">
  <sheetPr codeName="Sheet7"/>
  <dimension ref="A1:O72"/>
  <sheetViews>
    <sheetView topLeftCell="D1" workbookViewId="0">
      <selection activeCell="J32" sqref="J32"/>
    </sheetView>
  </sheetViews>
  <sheetFormatPr defaultRowHeight="14.4" x14ac:dyDescent="0.3"/>
  <cols>
    <col min="2" max="2" width="25.88671875" bestFit="1" customWidth="1"/>
    <col min="3" max="3" width="62" bestFit="1" customWidth="1"/>
  </cols>
  <sheetData>
    <row r="1" spans="1:15" x14ac:dyDescent="0.3">
      <c r="A1" t="s">
        <v>101</v>
      </c>
    </row>
    <row r="3" spans="1:15" x14ac:dyDescent="0.3">
      <c r="C3" s="27" t="s">
        <v>8</v>
      </c>
      <c r="D3" s="27" t="s">
        <v>15</v>
      </c>
    </row>
    <row r="4" spans="1:15" ht="15.6" x14ac:dyDescent="0.3">
      <c r="C4" s="1" t="s">
        <v>22</v>
      </c>
      <c r="D4">
        <v>0</v>
      </c>
    </row>
    <row r="5" spans="1:15" ht="15.6" x14ac:dyDescent="0.3">
      <c r="B5" s="26"/>
      <c r="C5" s="1" t="s">
        <v>23</v>
      </c>
      <c r="D5">
        <v>2</v>
      </c>
    </row>
    <row r="6" spans="1:15" ht="15.6" x14ac:dyDescent="0.3">
      <c r="B6" s="26"/>
      <c r="C6" s="1" t="s">
        <v>24</v>
      </c>
      <c r="D6">
        <v>6</v>
      </c>
    </row>
    <row r="7" spans="1:15" ht="15.6" x14ac:dyDescent="0.3">
      <c r="B7" s="26"/>
      <c r="C7" s="1" t="s">
        <v>25</v>
      </c>
      <c r="D7">
        <v>7</v>
      </c>
    </row>
    <row r="8" spans="1:15" ht="15.6" x14ac:dyDescent="0.3">
      <c r="C8" s="1" t="s">
        <v>26</v>
      </c>
      <c r="D8">
        <v>8</v>
      </c>
    </row>
    <row r="9" spans="1:15" ht="15.6" x14ac:dyDescent="0.3">
      <c r="C9" s="1" t="s">
        <v>34</v>
      </c>
      <c r="D9">
        <v>9</v>
      </c>
    </row>
    <row r="10" spans="1:15" ht="15.6" x14ac:dyDescent="0.3">
      <c r="C10" s="1" t="s">
        <v>28</v>
      </c>
      <c r="D10">
        <v>10</v>
      </c>
    </row>
    <row r="11" spans="1:15" ht="15.6" x14ac:dyDescent="0.3">
      <c r="C11" s="1" t="s">
        <v>29</v>
      </c>
      <c r="D11">
        <v>10</v>
      </c>
    </row>
    <row r="15" spans="1:15" x14ac:dyDescent="0.3">
      <c r="E15" s="103" t="s">
        <v>102</v>
      </c>
      <c r="F15" s="103"/>
      <c r="G15" s="103"/>
      <c r="H15" s="103"/>
      <c r="I15" s="103"/>
      <c r="J15" s="103"/>
      <c r="K15" s="103"/>
      <c r="L15" s="103"/>
      <c r="M15" s="103"/>
      <c r="N15" s="103"/>
      <c r="O15" s="103"/>
    </row>
    <row r="16" spans="1:15" x14ac:dyDescent="0.3">
      <c r="E16" s="21" t="s">
        <v>16</v>
      </c>
      <c r="F16" s="24" t="s">
        <v>15</v>
      </c>
      <c r="G16" s="21"/>
      <c r="H16" s="21" t="s">
        <v>19</v>
      </c>
      <c r="I16" s="24" t="s">
        <v>15</v>
      </c>
      <c r="J16" s="21"/>
      <c r="K16" s="21" t="s">
        <v>17</v>
      </c>
      <c r="L16" s="24" t="s">
        <v>15</v>
      </c>
      <c r="M16" s="21"/>
      <c r="N16" s="21" t="s">
        <v>18</v>
      </c>
      <c r="O16" s="24" t="s">
        <v>15</v>
      </c>
    </row>
    <row r="17" spans="5:15" x14ac:dyDescent="0.3">
      <c r="E17" s="21" t="s">
        <v>35</v>
      </c>
      <c r="F17" s="21">
        <v>0</v>
      </c>
      <c r="G17" s="21"/>
      <c r="H17" s="21" t="s">
        <v>35</v>
      </c>
      <c r="I17" s="21">
        <v>0</v>
      </c>
      <c r="J17" s="21"/>
      <c r="K17" s="21" t="s">
        <v>35</v>
      </c>
      <c r="L17" s="21">
        <v>0</v>
      </c>
      <c r="M17" s="21"/>
      <c r="N17" s="21" t="s">
        <v>35</v>
      </c>
      <c r="O17" s="21">
        <v>0</v>
      </c>
    </row>
    <row r="18" spans="5:15" x14ac:dyDescent="0.3">
      <c r="E18" s="21">
        <v>3.5</v>
      </c>
      <c r="F18" s="21">
        <v>0</v>
      </c>
      <c r="G18" s="21"/>
      <c r="H18" s="21" t="s">
        <v>85</v>
      </c>
      <c r="I18" s="21">
        <v>0</v>
      </c>
      <c r="J18" s="21"/>
      <c r="K18" s="21">
        <v>3.5</v>
      </c>
      <c r="L18" s="21">
        <v>0</v>
      </c>
      <c r="M18" s="21"/>
      <c r="N18" s="21">
        <v>3.5</v>
      </c>
      <c r="O18" s="21">
        <v>0</v>
      </c>
    </row>
    <row r="19" spans="5:15" x14ac:dyDescent="0.3">
      <c r="E19" s="21">
        <v>4</v>
      </c>
      <c r="F19" s="21">
        <v>0</v>
      </c>
      <c r="G19" s="21"/>
      <c r="H19" s="21">
        <v>4</v>
      </c>
      <c r="I19" s="21">
        <v>0</v>
      </c>
      <c r="J19" s="21"/>
      <c r="K19" s="21">
        <v>4</v>
      </c>
      <c r="L19" s="21" t="s">
        <v>103</v>
      </c>
      <c r="M19" s="21"/>
      <c r="N19" s="21">
        <v>4</v>
      </c>
      <c r="O19" s="21">
        <v>0</v>
      </c>
    </row>
    <row r="20" spans="5:15" x14ac:dyDescent="0.3">
      <c r="E20" s="21">
        <v>4.5</v>
      </c>
      <c r="F20" s="21">
        <v>0</v>
      </c>
      <c r="G20" s="21"/>
      <c r="H20" s="21">
        <v>4.5</v>
      </c>
      <c r="I20" s="21">
        <v>0</v>
      </c>
      <c r="J20" s="21"/>
      <c r="K20" s="21">
        <v>4.5</v>
      </c>
      <c r="L20" s="21" t="s">
        <v>103</v>
      </c>
      <c r="M20" s="21"/>
      <c r="N20" s="21">
        <v>4.5</v>
      </c>
      <c r="O20" s="21">
        <v>0</v>
      </c>
    </row>
    <row r="21" spans="5:15" x14ac:dyDescent="0.3">
      <c r="E21" s="21">
        <v>5</v>
      </c>
      <c r="F21" s="21" t="s">
        <v>103</v>
      </c>
      <c r="G21" s="21"/>
      <c r="H21" s="21">
        <v>5</v>
      </c>
      <c r="I21" s="21" t="s">
        <v>103</v>
      </c>
      <c r="J21" s="21"/>
      <c r="K21" s="21">
        <v>5</v>
      </c>
      <c r="L21" s="21" t="s">
        <v>103</v>
      </c>
      <c r="M21" s="21"/>
      <c r="N21" s="21">
        <v>5</v>
      </c>
      <c r="O21" s="21" t="s">
        <v>103</v>
      </c>
    </row>
    <row r="22" spans="5:15" x14ac:dyDescent="0.3">
      <c r="E22" s="21">
        <v>5.5</v>
      </c>
      <c r="F22" s="21" t="s">
        <v>103</v>
      </c>
      <c r="G22" s="21"/>
      <c r="H22" s="21">
        <v>5.5</v>
      </c>
      <c r="I22" s="21" t="s">
        <v>103</v>
      </c>
      <c r="J22" s="21"/>
      <c r="K22" s="21">
        <v>5.5</v>
      </c>
      <c r="L22" s="21" t="s">
        <v>103</v>
      </c>
      <c r="M22" s="21"/>
      <c r="N22" s="21">
        <v>5.5</v>
      </c>
      <c r="O22" s="21" t="s">
        <v>103</v>
      </c>
    </row>
    <row r="23" spans="5:15" x14ac:dyDescent="0.3">
      <c r="E23" s="21">
        <v>6</v>
      </c>
      <c r="F23" s="21" t="s">
        <v>104</v>
      </c>
      <c r="G23" s="21"/>
      <c r="H23" s="21">
        <v>6</v>
      </c>
      <c r="I23" s="21" t="s">
        <v>104</v>
      </c>
      <c r="J23" s="21"/>
      <c r="K23" s="21">
        <v>6</v>
      </c>
      <c r="L23" s="21" t="s">
        <v>104</v>
      </c>
      <c r="M23" s="21"/>
      <c r="N23" s="21">
        <v>6</v>
      </c>
      <c r="O23" s="21" t="s">
        <v>104</v>
      </c>
    </row>
    <row r="24" spans="5:15" x14ac:dyDescent="0.3">
      <c r="E24" s="21">
        <v>6.5</v>
      </c>
      <c r="F24" s="21" t="s">
        <v>104</v>
      </c>
      <c r="G24" s="21"/>
      <c r="H24" s="21">
        <v>6.5</v>
      </c>
      <c r="I24" s="21" t="s">
        <v>104</v>
      </c>
      <c r="J24" s="21"/>
      <c r="K24" s="21">
        <v>6.5</v>
      </c>
      <c r="L24" s="21" t="s">
        <v>104</v>
      </c>
      <c r="M24" s="21"/>
      <c r="N24" s="21">
        <v>6.5</v>
      </c>
      <c r="O24" s="21" t="s">
        <v>104</v>
      </c>
    </row>
    <row r="25" spans="5:15" x14ac:dyDescent="0.3">
      <c r="E25" s="21">
        <v>7</v>
      </c>
      <c r="F25" s="21" t="s">
        <v>105</v>
      </c>
      <c r="G25" s="21"/>
      <c r="H25" s="21">
        <v>7</v>
      </c>
      <c r="I25" s="21" t="s">
        <v>104</v>
      </c>
      <c r="J25" s="21"/>
      <c r="K25" s="21">
        <v>7</v>
      </c>
      <c r="L25" s="21" t="s">
        <v>105</v>
      </c>
      <c r="M25" s="21"/>
      <c r="N25" s="21">
        <v>7</v>
      </c>
      <c r="O25" s="21" t="s">
        <v>105</v>
      </c>
    </row>
    <row r="26" spans="5:15" x14ac:dyDescent="0.3">
      <c r="E26" s="21">
        <v>7.5</v>
      </c>
      <c r="F26" s="21" t="s">
        <v>105</v>
      </c>
      <c r="G26" s="21"/>
      <c r="H26" s="21">
        <v>7.5</v>
      </c>
      <c r="I26" s="21" t="s">
        <v>104</v>
      </c>
      <c r="J26" s="21"/>
      <c r="K26" s="21">
        <v>7.5</v>
      </c>
      <c r="L26" s="21" t="s">
        <v>105</v>
      </c>
      <c r="M26" s="21"/>
      <c r="N26" s="21">
        <v>7.5</v>
      </c>
      <c r="O26" s="21" t="s">
        <v>105</v>
      </c>
    </row>
    <row r="27" spans="5:15" x14ac:dyDescent="0.3">
      <c r="E27" s="21">
        <v>8</v>
      </c>
      <c r="F27" s="21" t="s">
        <v>105</v>
      </c>
      <c r="G27" s="21"/>
      <c r="H27" s="21">
        <v>8</v>
      </c>
      <c r="I27" s="21" t="s">
        <v>105</v>
      </c>
      <c r="J27" s="21"/>
      <c r="K27" s="21">
        <v>8</v>
      </c>
      <c r="L27" s="21" t="s">
        <v>105</v>
      </c>
      <c r="M27" s="21"/>
      <c r="N27" s="21">
        <v>8</v>
      </c>
      <c r="O27" s="21" t="s">
        <v>105</v>
      </c>
    </row>
    <row r="28" spans="5:15" x14ac:dyDescent="0.3">
      <c r="E28" s="21">
        <v>8.5</v>
      </c>
      <c r="F28" s="21" t="s">
        <v>105</v>
      </c>
      <c r="G28" s="21"/>
      <c r="H28" s="21">
        <v>8.5</v>
      </c>
      <c r="I28" s="21" t="s">
        <v>105</v>
      </c>
      <c r="J28" s="21"/>
      <c r="K28" s="21">
        <v>8.5</v>
      </c>
      <c r="L28" s="21" t="s">
        <v>105</v>
      </c>
      <c r="M28" s="21"/>
      <c r="N28" s="21">
        <v>8.5</v>
      </c>
      <c r="O28" s="21" t="s">
        <v>105</v>
      </c>
    </row>
    <row r="29" spans="5:15" x14ac:dyDescent="0.3">
      <c r="E29" s="21">
        <v>9</v>
      </c>
      <c r="F29" s="21" t="s">
        <v>105</v>
      </c>
      <c r="G29" s="21"/>
      <c r="H29" s="21">
        <v>9</v>
      </c>
      <c r="I29" s="21" t="s">
        <v>105</v>
      </c>
      <c r="J29" s="21"/>
      <c r="K29" s="21">
        <v>9</v>
      </c>
      <c r="L29" s="21" t="s">
        <v>105</v>
      </c>
      <c r="M29" s="21"/>
      <c r="N29" s="21">
        <v>9</v>
      </c>
      <c r="O29" s="21" t="s">
        <v>105</v>
      </c>
    </row>
    <row r="34" spans="5:15" x14ac:dyDescent="0.3">
      <c r="F34" s="103" t="s">
        <v>108</v>
      </c>
      <c r="G34" s="103"/>
    </row>
    <row r="35" spans="5:15" x14ac:dyDescent="0.3">
      <c r="F35" t="s">
        <v>36</v>
      </c>
      <c r="G35" s="19" t="s">
        <v>15</v>
      </c>
    </row>
    <row r="36" spans="5:15" x14ac:dyDescent="0.3">
      <c r="F36" s="19">
        <v>3</v>
      </c>
      <c r="G36">
        <v>0</v>
      </c>
    </row>
    <row r="37" spans="5:15" x14ac:dyDescent="0.3">
      <c r="F37">
        <v>4</v>
      </c>
      <c r="G37">
        <v>0</v>
      </c>
    </row>
    <row r="38" spans="5:15" x14ac:dyDescent="0.3">
      <c r="F38">
        <v>5</v>
      </c>
      <c r="G38">
        <v>1</v>
      </c>
    </row>
    <row r="39" spans="5:15" x14ac:dyDescent="0.3">
      <c r="F39">
        <v>6</v>
      </c>
      <c r="G39">
        <v>1</v>
      </c>
    </row>
    <row r="40" spans="5:15" x14ac:dyDescent="0.3">
      <c r="F40">
        <v>7</v>
      </c>
      <c r="G40">
        <v>3</v>
      </c>
    </row>
    <row r="41" spans="5:15" x14ac:dyDescent="0.3">
      <c r="F41">
        <v>8</v>
      </c>
      <c r="G41">
        <v>3</v>
      </c>
    </row>
    <row r="42" spans="5:15" x14ac:dyDescent="0.3">
      <c r="F42">
        <v>9</v>
      </c>
      <c r="G42">
        <v>5</v>
      </c>
    </row>
    <row r="43" spans="5:15" x14ac:dyDescent="0.3">
      <c r="F43" s="20">
        <v>10</v>
      </c>
      <c r="G43">
        <v>5</v>
      </c>
    </row>
    <row r="44" spans="5:15" x14ac:dyDescent="0.3">
      <c r="F44" s="20">
        <v>11</v>
      </c>
      <c r="G44">
        <v>5</v>
      </c>
    </row>
    <row r="45" spans="5:15" x14ac:dyDescent="0.3">
      <c r="F45" s="20">
        <v>12</v>
      </c>
      <c r="G45">
        <v>5</v>
      </c>
    </row>
    <row r="47" spans="5:15" x14ac:dyDescent="0.3">
      <c r="E47" s="103" t="s">
        <v>109</v>
      </c>
      <c r="F47" s="103"/>
      <c r="G47" s="103"/>
      <c r="H47" s="103"/>
      <c r="I47" s="103"/>
      <c r="J47" s="103"/>
      <c r="K47" s="103"/>
      <c r="L47" s="103"/>
      <c r="M47" s="103"/>
      <c r="N47" s="103"/>
      <c r="O47" s="103"/>
    </row>
    <row r="48" spans="5:15" x14ac:dyDescent="0.3">
      <c r="E48" t="s">
        <v>56</v>
      </c>
      <c r="F48" t="s">
        <v>15</v>
      </c>
      <c r="H48" t="s">
        <v>57</v>
      </c>
      <c r="I48" t="s">
        <v>15</v>
      </c>
      <c r="K48" t="s">
        <v>58</v>
      </c>
      <c r="L48" t="s">
        <v>15</v>
      </c>
      <c r="N48" t="s">
        <v>59</v>
      </c>
      <c r="O48" t="s">
        <v>15</v>
      </c>
    </row>
    <row r="49" spans="5:15" x14ac:dyDescent="0.3">
      <c r="E49" t="s">
        <v>48</v>
      </c>
      <c r="F49">
        <v>0</v>
      </c>
      <c r="H49" t="s">
        <v>37</v>
      </c>
      <c r="I49">
        <v>0</v>
      </c>
      <c r="K49" t="s">
        <v>52</v>
      </c>
      <c r="L49">
        <v>0</v>
      </c>
      <c r="N49" t="s">
        <v>48</v>
      </c>
      <c r="O49">
        <v>0</v>
      </c>
    </row>
    <row r="50" spans="5:15" x14ac:dyDescent="0.3">
      <c r="E50" t="s">
        <v>47</v>
      </c>
      <c r="F50">
        <v>1</v>
      </c>
      <c r="H50" t="s">
        <v>49</v>
      </c>
      <c r="I50">
        <v>1</v>
      </c>
      <c r="K50" t="s">
        <v>53</v>
      </c>
      <c r="L50">
        <v>1</v>
      </c>
      <c r="N50" t="s">
        <v>47</v>
      </c>
      <c r="O50">
        <v>1</v>
      </c>
    </row>
    <row r="51" spans="5:15" x14ac:dyDescent="0.3">
      <c r="E51" t="s">
        <v>45</v>
      </c>
      <c r="F51">
        <v>3</v>
      </c>
      <c r="H51" t="s">
        <v>50</v>
      </c>
      <c r="I51">
        <v>3</v>
      </c>
      <c r="K51" t="s">
        <v>54</v>
      </c>
      <c r="L51">
        <v>3</v>
      </c>
      <c r="N51" t="s">
        <v>45</v>
      </c>
      <c r="O51">
        <v>3</v>
      </c>
    </row>
    <row r="52" spans="5:15" x14ac:dyDescent="0.3">
      <c r="E52" t="s">
        <v>46</v>
      </c>
      <c r="F52">
        <v>5</v>
      </c>
      <c r="H52" t="s">
        <v>51</v>
      </c>
      <c r="I52">
        <v>5</v>
      </c>
      <c r="K52" t="s">
        <v>55</v>
      </c>
      <c r="L52">
        <v>5</v>
      </c>
      <c r="N52" t="s">
        <v>46</v>
      </c>
      <c r="O52">
        <v>5</v>
      </c>
    </row>
    <row r="55" spans="5:15" x14ac:dyDescent="0.3">
      <c r="E55" s="103" t="s">
        <v>110</v>
      </c>
      <c r="F55" s="103"/>
      <c r="G55" s="103"/>
      <c r="H55" s="103"/>
      <c r="I55" s="103"/>
      <c r="J55" s="103"/>
      <c r="K55" s="103"/>
      <c r="L55" s="103"/>
      <c r="M55" s="103"/>
      <c r="N55" s="103"/>
      <c r="O55" s="103"/>
    </row>
    <row r="56" spans="5:15" x14ac:dyDescent="0.3">
      <c r="E56" t="s">
        <v>60</v>
      </c>
      <c r="F56" t="s">
        <v>15</v>
      </c>
      <c r="H56" t="s">
        <v>61</v>
      </c>
      <c r="I56" t="s">
        <v>15</v>
      </c>
      <c r="K56" t="s">
        <v>62</v>
      </c>
      <c r="L56" t="s">
        <v>15</v>
      </c>
      <c r="N56" t="s">
        <v>63</v>
      </c>
      <c r="O56" t="s">
        <v>15</v>
      </c>
    </row>
    <row r="57" spans="5:15" x14ac:dyDescent="0.3">
      <c r="E57" t="s">
        <v>64</v>
      </c>
      <c r="F57">
        <v>0</v>
      </c>
      <c r="H57" t="s">
        <v>68</v>
      </c>
      <c r="I57">
        <v>0</v>
      </c>
      <c r="K57" t="s">
        <v>72</v>
      </c>
      <c r="L57">
        <v>0</v>
      </c>
      <c r="N57" t="s">
        <v>64</v>
      </c>
      <c r="O57">
        <v>0</v>
      </c>
    </row>
    <row r="58" spans="5:15" x14ac:dyDescent="0.3">
      <c r="E58" s="21" t="s">
        <v>66</v>
      </c>
      <c r="F58">
        <v>1</v>
      </c>
      <c r="H58" t="s">
        <v>69</v>
      </c>
      <c r="I58">
        <v>1</v>
      </c>
      <c r="K58" t="s">
        <v>73</v>
      </c>
      <c r="L58">
        <v>1</v>
      </c>
      <c r="N58" s="21" t="s">
        <v>66</v>
      </c>
      <c r="O58">
        <v>1</v>
      </c>
    </row>
    <row r="59" spans="5:15" x14ac:dyDescent="0.3">
      <c r="E59" s="21" t="s">
        <v>65</v>
      </c>
      <c r="F59">
        <v>3</v>
      </c>
      <c r="H59" t="s">
        <v>70</v>
      </c>
      <c r="I59">
        <v>3</v>
      </c>
      <c r="K59" t="s">
        <v>74</v>
      </c>
      <c r="L59">
        <v>3</v>
      </c>
      <c r="N59" s="21" t="s">
        <v>65</v>
      </c>
      <c r="O59">
        <v>3</v>
      </c>
    </row>
    <row r="60" spans="5:15" x14ac:dyDescent="0.3">
      <c r="E60" t="s">
        <v>67</v>
      </c>
      <c r="F60">
        <v>5</v>
      </c>
      <c r="H60" t="s">
        <v>71</v>
      </c>
      <c r="I60">
        <v>5</v>
      </c>
      <c r="K60" t="s">
        <v>75</v>
      </c>
      <c r="L60">
        <v>5</v>
      </c>
      <c r="N60" s="21" t="s">
        <v>67</v>
      </c>
      <c r="O60">
        <v>5</v>
      </c>
    </row>
    <row r="65" spans="5:6" x14ac:dyDescent="0.3">
      <c r="E65" s="103" t="s">
        <v>111</v>
      </c>
      <c r="F65" s="103"/>
    </row>
    <row r="66" spans="5:6" x14ac:dyDescent="0.3">
      <c r="E66" t="s">
        <v>112</v>
      </c>
      <c r="F66" t="s">
        <v>15</v>
      </c>
    </row>
    <row r="67" spans="5:6" x14ac:dyDescent="0.3">
      <c r="E67" s="21">
        <v>0</v>
      </c>
      <c r="F67">
        <v>0</v>
      </c>
    </row>
    <row r="68" spans="5:6" x14ac:dyDescent="0.3">
      <c r="E68" s="21">
        <v>1</v>
      </c>
      <c r="F68">
        <v>5</v>
      </c>
    </row>
    <row r="69" spans="5:6" x14ac:dyDescent="0.3">
      <c r="E69" s="21">
        <v>2</v>
      </c>
      <c r="F69">
        <v>7</v>
      </c>
    </row>
    <row r="70" spans="5:6" x14ac:dyDescent="0.3">
      <c r="E70" s="21">
        <v>3</v>
      </c>
      <c r="F70">
        <v>8</v>
      </c>
    </row>
    <row r="71" spans="5:6" x14ac:dyDescent="0.3">
      <c r="E71" s="21">
        <v>4</v>
      </c>
      <c r="F71">
        <v>9</v>
      </c>
    </row>
    <row r="72" spans="5:6" x14ac:dyDescent="0.3">
      <c r="E72" s="21" t="s">
        <v>83</v>
      </c>
      <c r="F72">
        <v>10</v>
      </c>
    </row>
  </sheetData>
  <mergeCells count="5">
    <mergeCell ref="E55:O55"/>
    <mergeCell ref="E65:F65"/>
    <mergeCell ref="E15:O15"/>
    <mergeCell ref="F34:G34"/>
    <mergeCell ref="E47:O47"/>
  </mergeCells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Express Entry Score Simulator</vt:lpstr>
      <vt:lpstr>Transferability</vt:lpstr>
      <vt:lpstr>Age Matrix</vt:lpstr>
      <vt:lpstr>Education Matrix</vt:lpstr>
      <vt:lpstr>Language Matrix</vt:lpstr>
      <vt:lpstr>Work Matrix</vt:lpstr>
      <vt:lpstr>Spouse Matix</vt:lpstr>
      <vt:lpstr>CELPIP</vt:lpstr>
      <vt:lpstr>Education</vt:lpstr>
      <vt:lpstr>Education_Married</vt:lpstr>
      <vt:lpstr>Education_Single</vt:lpstr>
      <vt:lpstr>English</vt:lpstr>
      <vt:lpstr>French</vt:lpstr>
      <vt:lpstr>IELTS</vt:lpstr>
      <vt:lpstr>In_Canada</vt:lpstr>
      <vt:lpstr>language</vt:lpstr>
      <vt:lpstr>NA</vt:lpstr>
      <vt:lpstr>Score</vt:lpstr>
      <vt:lpstr>TCF_L</vt:lpstr>
      <vt:lpstr>TCF_R</vt:lpstr>
      <vt:lpstr>TCF_S</vt:lpstr>
      <vt:lpstr>TCF_W</vt:lpstr>
      <vt:lpstr>TEF_L</vt:lpstr>
      <vt:lpstr>TEF_R</vt:lpstr>
      <vt:lpstr>TEF_S</vt:lpstr>
      <vt:lpstr>TEF_W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jx199</dc:creator>
  <cp:lastModifiedBy>jx199</cp:lastModifiedBy>
  <dcterms:created xsi:type="dcterms:W3CDTF">2015-06-05T18:17:20Z</dcterms:created>
  <dcterms:modified xsi:type="dcterms:W3CDTF">2021-01-25T16:07:17Z</dcterms:modified>
</cp:coreProperties>
</file>